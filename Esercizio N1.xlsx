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P\Desktop\"/>
    </mc:Choice>
  </mc:AlternateContent>
  <xr:revisionPtr revIDLastSave="0" documentId="13_ncr:1_{BEC4FCFF-43A4-4B38-B669-C4F9F76690D5}" xr6:coauthVersionLast="47" xr6:coauthVersionMax="47" xr10:uidLastSave="{00000000-0000-0000-0000-000000000000}"/>
  <bookViews>
    <workbookView xWindow="-110" yWindow="-110" windowWidth="25820" windowHeight="15500" xr2:uid="{18993911-EE3B-463E-8235-DC445B5FB75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1" l="1"/>
  <c r="I37" i="1"/>
  <c r="K37" i="1"/>
  <c r="H41" i="1"/>
  <c r="F42" i="1" s="1"/>
  <c r="G37" i="1"/>
  <c r="E37" i="1"/>
  <c r="F21" i="1" a="1"/>
  <c r="F21" i="1" s="1"/>
  <c r="I18" i="1"/>
  <c r="L14" i="1" s="1"/>
  <c r="G18" i="1"/>
  <c r="E18" i="1"/>
  <c r="G14" i="1"/>
  <c r="E14" i="1"/>
  <c r="F41" i="1" l="1"/>
  <c r="L15" i="1"/>
  <c r="F22" i="1"/>
  <c r="F23" i="1"/>
</calcChain>
</file>

<file path=xl/sharedStrings.xml><?xml version="1.0" encoding="utf-8"?>
<sst xmlns="http://schemas.openxmlformats.org/spreadsheetml/2006/main" count="28" uniqueCount="18">
  <si>
    <t>Media</t>
  </si>
  <si>
    <t>DATASET</t>
  </si>
  <si>
    <t>Mediana</t>
  </si>
  <si>
    <t>Moda</t>
  </si>
  <si>
    <t>Varianza</t>
  </si>
  <si>
    <t>Dev standard</t>
  </si>
  <si>
    <t>IQR</t>
  </si>
  <si>
    <t>Frequenza</t>
  </si>
  <si>
    <t>18-21</t>
  </si>
  <si>
    <t>22-25</t>
  </si>
  <si>
    <t>26-30</t>
  </si>
  <si>
    <t>Classe Modale</t>
  </si>
  <si>
    <t>Outlier</t>
  </si>
  <si>
    <t>LIM SUP.</t>
  </si>
  <si>
    <t>LIM INF.</t>
  </si>
  <si>
    <t>OUTLIER</t>
  </si>
  <si>
    <t>Dev. Standard</t>
  </si>
  <si>
    <t>D.Stan. No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</si>
</sst>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4" xfId="0" applyBorder="1"/>
    <xf numFmtId="0" fontId="0" fillId="0" borderId="9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Foglio1!$E$21:$E$23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26-30</c:v>
                </c:pt>
              </c:strCache>
            </c:strRef>
          </c:cat>
          <c:val>
            <c:numRef>
              <c:f>Foglio1!$F$21:$F$23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C-4A89-86DB-F712CB3E80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21401919"/>
        <c:axId val="205167407"/>
      </c:barChart>
      <c:catAx>
        <c:axId val="72140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167407"/>
        <c:crosses val="autoZero"/>
        <c:auto val="1"/>
        <c:lblAlgn val="ctr"/>
        <c:lblOffset val="100"/>
        <c:noMultiLvlLbl val="0"/>
      </c:catAx>
      <c:valAx>
        <c:axId val="205167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140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89959</xdr:colOff>
      <xdr:row>25</xdr:row>
      <xdr:rowOff>21317</xdr:rowOff>
    </xdr:from>
    <xdr:to>
      <xdr:col>11</xdr:col>
      <xdr:colOff>183092</xdr:colOff>
      <xdr:row>34</xdr:row>
      <xdr:rowOff>66674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1B76356-27A9-4999-9BBE-D657EF94E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1" r="5606" b="31207"/>
        <a:stretch>
          <a:fillRect/>
        </a:stretch>
      </xdr:blipFill>
      <xdr:spPr>
        <a:xfrm>
          <a:off x="672042" y="4662109"/>
          <a:ext cx="7437967" cy="1712232"/>
        </a:xfrm>
        <a:prstGeom prst="rect">
          <a:avLst/>
        </a:prstGeom>
      </xdr:spPr>
    </xdr:pic>
    <xdr:clientData/>
  </xdr:twoCellAnchor>
  <xdr:twoCellAnchor editAs="oneCell">
    <xdr:from>
      <xdr:col>1</xdr:col>
      <xdr:colOff>21167</xdr:colOff>
      <xdr:row>0</xdr:row>
      <xdr:rowOff>31751</xdr:rowOff>
    </xdr:from>
    <xdr:to>
      <xdr:col>12</xdr:col>
      <xdr:colOff>10583</xdr:colOff>
      <xdr:row>11</xdr:row>
      <xdr:rowOff>31751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30A8680-DF82-441B-1197-74B71BA93E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2" t="17627" r="3218" b="23934"/>
        <a:stretch>
          <a:fillRect/>
        </a:stretch>
      </xdr:blipFill>
      <xdr:spPr>
        <a:xfrm>
          <a:off x="603250" y="31751"/>
          <a:ext cx="7810500" cy="2037292"/>
        </a:xfrm>
        <a:prstGeom prst="rect">
          <a:avLst/>
        </a:prstGeom>
      </xdr:spPr>
    </xdr:pic>
    <xdr:clientData/>
  </xdr:twoCellAnchor>
  <xdr:twoCellAnchor>
    <xdr:from>
      <xdr:col>9</xdr:col>
      <xdr:colOff>71439</xdr:colOff>
      <xdr:row>17</xdr:row>
      <xdr:rowOff>49214</xdr:rowOff>
    </xdr:from>
    <xdr:to>
      <xdr:col>11</xdr:col>
      <xdr:colOff>444500</xdr:colOff>
      <xdr:row>24</xdr:row>
      <xdr:rowOff>132293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52672257-5100-D9A5-AFE6-036952C75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2404-6E74-49C1-B8BC-239CD9F5B6A6}">
  <dimension ref="A1:P71"/>
  <sheetViews>
    <sheetView tabSelected="1" topLeftCell="A25" zoomScale="120" zoomScaleNormal="120" workbookViewId="0">
      <selection activeCell="Q25" sqref="Q25"/>
    </sheetView>
  </sheetViews>
  <sheetFormatPr defaultRowHeight="14.5" x14ac:dyDescent="0.35"/>
  <cols>
    <col min="1" max="1" width="8.36328125" bestFit="1" customWidth="1"/>
    <col min="2" max="2" width="8.36328125" customWidth="1"/>
    <col min="3" max="3" width="7.90625" bestFit="1" customWidth="1"/>
    <col min="4" max="4" width="12.1796875" bestFit="1" customWidth="1"/>
    <col min="5" max="5" width="11.81640625" bestFit="1" customWidth="1"/>
    <col min="6" max="6" width="6.54296875" bestFit="1" customWidth="1"/>
    <col min="7" max="7" width="11.90625" bestFit="1" customWidth="1"/>
    <col min="8" max="8" width="7.08984375" customWidth="1"/>
    <col min="9" max="9" width="12.90625" bestFit="1" customWidth="1"/>
    <col min="10" max="11" width="13.26953125" bestFit="1" customWidth="1"/>
    <col min="12" max="12" width="6.81640625" bestFit="1" customWidth="1"/>
    <col min="13" max="13" width="6.1796875" customWidth="1"/>
  </cols>
  <sheetData>
    <row r="1" spans="1:15" x14ac:dyDescent="0.35">
      <c r="L1" s="1"/>
    </row>
    <row r="2" spans="1:15" x14ac:dyDescent="0.35">
      <c r="L2" s="1"/>
    </row>
    <row r="3" spans="1:15" x14ac:dyDescent="0.35">
      <c r="L3" s="1"/>
    </row>
    <row r="4" spans="1:15" x14ac:dyDescent="0.35">
      <c r="L4" s="1"/>
    </row>
    <row r="5" spans="1:15" x14ac:dyDescent="0.35">
      <c r="L5" s="1"/>
    </row>
    <row r="6" spans="1:15" x14ac:dyDescent="0.35">
      <c r="L6" s="1"/>
    </row>
    <row r="7" spans="1:15" x14ac:dyDescent="0.35">
      <c r="L7" s="1"/>
      <c r="M7" s="2"/>
      <c r="N7" s="2"/>
      <c r="O7" s="2"/>
    </row>
    <row r="8" spans="1:15" x14ac:dyDescent="0.35">
      <c r="L8" s="1"/>
      <c r="M8" s="2"/>
      <c r="N8" s="2"/>
      <c r="O8" s="2"/>
    </row>
    <row r="9" spans="1:15" x14ac:dyDescent="0.35">
      <c r="L9" s="1"/>
      <c r="M9" s="2"/>
      <c r="N9" s="2"/>
      <c r="O9" s="2"/>
    </row>
    <row r="10" spans="1:15" x14ac:dyDescent="0.35">
      <c r="L10" s="1"/>
      <c r="M10" s="2"/>
      <c r="N10" s="2"/>
      <c r="O10" s="2"/>
    </row>
    <row r="11" spans="1:15" x14ac:dyDescent="0.35">
      <c r="L11" s="1"/>
      <c r="M11" s="2"/>
      <c r="N11" s="2"/>
      <c r="O11" s="2"/>
    </row>
    <row r="12" spans="1:15" ht="15" thickBot="1" x14ac:dyDescent="0.4">
      <c r="L12" s="1"/>
      <c r="M12" s="2"/>
      <c r="N12" s="2"/>
      <c r="O12" s="2"/>
    </row>
    <row r="13" spans="1:15" x14ac:dyDescent="0.35">
      <c r="B13" s="14" t="s">
        <v>1</v>
      </c>
      <c r="C13" s="15" t="s">
        <v>15</v>
      </c>
      <c r="D13" s="16"/>
      <c r="E13" s="17" t="s">
        <v>0</v>
      </c>
      <c r="F13" s="16"/>
      <c r="G13" s="18" t="s">
        <v>2</v>
      </c>
      <c r="H13" s="16"/>
      <c r="I13" s="18" t="s">
        <v>3</v>
      </c>
      <c r="J13" s="19"/>
      <c r="K13" s="20"/>
      <c r="L13" s="21" t="s">
        <v>12</v>
      </c>
      <c r="M13" s="2"/>
      <c r="N13" s="2"/>
      <c r="O13" s="2"/>
    </row>
    <row r="14" spans="1:15" x14ac:dyDescent="0.35">
      <c r="B14" s="22">
        <v>18</v>
      </c>
      <c r="C14" s="10"/>
      <c r="D14" s="9"/>
      <c r="E14" s="5">
        <f>AVERAGE(B14:B25)</f>
        <v>26.666666666666668</v>
      </c>
      <c r="F14" s="9"/>
      <c r="G14" s="5">
        <f>MEDIAN(B14:B25)</f>
        <v>28</v>
      </c>
      <c r="H14" s="9"/>
      <c r="I14" s="13">
        <v>28.3</v>
      </c>
      <c r="J14" s="23"/>
      <c r="K14" s="11" t="s">
        <v>14</v>
      </c>
      <c r="L14" s="24">
        <f>_xlfn.QUARTILE.INC(B14:B25,1)-1.5*I18</f>
        <v>18.625</v>
      </c>
      <c r="M14" s="2"/>
      <c r="N14" s="2"/>
      <c r="O14" s="2"/>
    </row>
    <row r="15" spans="1:15" x14ac:dyDescent="0.35">
      <c r="B15" s="25">
        <v>22</v>
      </c>
      <c r="C15" s="5"/>
      <c r="D15" s="9"/>
      <c r="E15" s="9"/>
      <c r="F15" s="9"/>
      <c r="G15" s="9"/>
      <c r="H15" s="9"/>
      <c r="I15" s="9"/>
      <c r="J15" s="23"/>
      <c r="K15" s="11" t="s">
        <v>13</v>
      </c>
      <c r="L15" s="24">
        <f>_xlfn.QUARTILE.INC(B14:B25,3)+1.5*I18</f>
        <v>35.625</v>
      </c>
      <c r="M15" s="2"/>
      <c r="N15" s="2"/>
      <c r="O15" s="2"/>
    </row>
    <row r="16" spans="1:15" x14ac:dyDescent="0.35">
      <c r="A16" s="2"/>
      <c r="B16" s="25">
        <v>25</v>
      </c>
      <c r="C16" s="5"/>
      <c r="D16" s="9"/>
      <c r="E16" s="9"/>
      <c r="F16" s="9"/>
      <c r="G16" s="9"/>
      <c r="H16" s="9"/>
      <c r="I16" s="9"/>
      <c r="J16" s="23"/>
      <c r="K16" s="23"/>
      <c r="L16" s="26"/>
      <c r="M16" s="2"/>
      <c r="N16" s="2"/>
      <c r="O16" s="2"/>
    </row>
    <row r="17" spans="1:15" x14ac:dyDescent="0.35">
      <c r="B17" s="25">
        <v>25</v>
      </c>
      <c r="C17" s="5"/>
      <c r="D17" s="9"/>
      <c r="E17" s="4" t="s">
        <v>4</v>
      </c>
      <c r="F17" s="9"/>
      <c r="G17" s="6" t="s">
        <v>5</v>
      </c>
      <c r="H17" s="9"/>
      <c r="I17" s="4" t="s">
        <v>6</v>
      </c>
      <c r="J17" s="23"/>
      <c r="K17" s="23"/>
      <c r="L17" s="26"/>
      <c r="M17" s="2"/>
      <c r="N17" s="2"/>
      <c r="O17" s="2"/>
    </row>
    <row r="18" spans="1:15" x14ac:dyDescent="0.35">
      <c r="B18" s="25">
        <v>27</v>
      </c>
      <c r="C18" s="5"/>
      <c r="D18" s="9"/>
      <c r="E18" s="5">
        <f>_xlfn.VAR.P(B14:B25)</f>
        <v>12.222222222222221</v>
      </c>
      <c r="F18" s="9"/>
      <c r="G18" s="5">
        <f>_xlfn.STDEV.P(B14:B25)</f>
        <v>3.496029493900505</v>
      </c>
      <c r="H18" s="9"/>
      <c r="I18" s="5">
        <f>QUARTILE(B14:B25,3)-QUARTILE(B14:B25,1)</f>
        <v>4.25</v>
      </c>
      <c r="J18" s="23"/>
      <c r="K18" s="23"/>
      <c r="L18" s="26"/>
      <c r="M18" s="2"/>
      <c r="N18" s="2"/>
      <c r="O18" s="2"/>
    </row>
    <row r="19" spans="1:15" x14ac:dyDescent="0.35">
      <c r="B19" s="25">
        <v>28</v>
      </c>
      <c r="C19" s="5"/>
      <c r="D19" s="9"/>
      <c r="E19" s="9"/>
      <c r="F19" s="9"/>
      <c r="G19" s="9"/>
      <c r="H19" s="9"/>
      <c r="I19" s="9"/>
      <c r="J19" s="23"/>
      <c r="K19" s="23"/>
      <c r="L19" s="26"/>
      <c r="M19" s="2"/>
      <c r="N19" s="2"/>
      <c r="O19" s="2"/>
    </row>
    <row r="20" spans="1:15" x14ac:dyDescent="0.35">
      <c r="B20" s="25">
        <v>28</v>
      </c>
      <c r="C20" s="5"/>
      <c r="D20" s="9"/>
      <c r="E20" s="4" t="s">
        <v>7</v>
      </c>
      <c r="F20" s="4"/>
      <c r="G20" s="8"/>
      <c r="H20" s="27"/>
      <c r="I20" s="4" t="s">
        <v>11</v>
      </c>
      <c r="J20" s="23"/>
      <c r="K20" s="23"/>
      <c r="L20" s="26"/>
      <c r="M20" s="2"/>
      <c r="N20" s="2"/>
      <c r="O20" s="2"/>
    </row>
    <row r="21" spans="1:15" x14ac:dyDescent="0.35">
      <c r="B21" s="25">
        <v>28</v>
      </c>
      <c r="C21" s="5"/>
      <c r="D21" s="9"/>
      <c r="E21" s="5" t="s">
        <v>8</v>
      </c>
      <c r="F21" s="7">
        <f t="array" ref="F21:F23">FREQUENCY(B14:B25,G21:G23)</f>
        <v>1</v>
      </c>
      <c r="G21" s="28">
        <v>21</v>
      </c>
      <c r="H21" s="27"/>
      <c r="I21" s="5" t="s">
        <v>10</v>
      </c>
      <c r="J21" s="23"/>
      <c r="K21" s="23"/>
      <c r="L21" s="26"/>
      <c r="M21" s="2"/>
      <c r="N21" s="2"/>
      <c r="O21" s="2"/>
    </row>
    <row r="22" spans="1:15" x14ac:dyDescent="0.35">
      <c r="B22" s="25">
        <v>29</v>
      </c>
      <c r="C22" s="5"/>
      <c r="D22" s="9"/>
      <c r="E22" s="5" t="s">
        <v>9</v>
      </c>
      <c r="F22" s="7">
        <v>3</v>
      </c>
      <c r="G22" s="28">
        <v>25</v>
      </c>
      <c r="H22" s="9"/>
      <c r="I22" s="9"/>
      <c r="J22" s="23"/>
      <c r="K22" s="23"/>
      <c r="L22" s="26"/>
      <c r="M22" s="2"/>
      <c r="N22" s="2"/>
      <c r="O22" s="2"/>
    </row>
    <row r="23" spans="1:15" x14ac:dyDescent="0.35">
      <c r="B23" s="25">
        <v>30</v>
      </c>
      <c r="C23" s="5"/>
      <c r="D23" s="9"/>
      <c r="E23" s="5" t="s">
        <v>10</v>
      </c>
      <c r="F23" s="7">
        <v>8</v>
      </c>
      <c r="G23" s="28">
        <v>30</v>
      </c>
      <c r="H23" s="9"/>
      <c r="I23" s="9"/>
      <c r="J23" s="23"/>
      <c r="K23" s="23"/>
      <c r="L23" s="26"/>
      <c r="M23" s="2"/>
      <c r="N23" s="2"/>
      <c r="O23" s="2"/>
    </row>
    <row r="24" spans="1:15" x14ac:dyDescent="0.35">
      <c r="B24" s="25">
        <v>30</v>
      </c>
      <c r="C24" s="5"/>
      <c r="D24" s="9"/>
      <c r="E24" s="9"/>
      <c r="F24" s="9"/>
      <c r="G24" s="9"/>
      <c r="H24" s="9"/>
      <c r="I24" s="9"/>
      <c r="J24" s="23"/>
      <c r="K24" s="23"/>
      <c r="L24" s="26"/>
      <c r="M24" s="2"/>
      <c r="N24" s="2"/>
      <c r="O24" s="2"/>
    </row>
    <row r="25" spans="1:15" ht="15" thickBot="1" x14ac:dyDescent="0.4">
      <c r="B25" s="29">
        <v>30</v>
      </c>
      <c r="C25" s="30"/>
      <c r="D25" s="31"/>
      <c r="E25" s="31"/>
      <c r="F25" s="31"/>
      <c r="G25" s="31"/>
      <c r="H25" s="31"/>
      <c r="I25" s="31"/>
      <c r="J25" s="32"/>
      <c r="K25" s="32"/>
      <c r="L25" s="33"/>
      <c r="M25" s="2"/>
      <c r="N25" s="2"/>
      <c r="O25" s="2"/>
    </row>
    <row r="26" spans="1:15" x14ac:dyDescent="0.35">
      <c r="L26" s="2"/>
      <c r="M26" s="2"/>
      <c r="N26" s="2"/>
      <c r="O26" s="2"/>
    </row>
    <row r="27" spans="1:15" x14ac:dyDescent="0.35">
      <c r="L27" s="2"/>
      <c r="M27" s="2"/>
      <c r="N27" s="2"/>
      <c r="O27" s="2"/>
    </row>
    <row r="28" spans="1:15" x14ac:dyDescent="0.35">
      <c r="L28" s="2"/>
      <c r="M28" s="2"/>
      <c r="N28" s="2"/>
      <c r="O28" s="2"/>
    </row>
    <row r="29" spans="1:15" x14ac:dyDescent="0.35">
      <c r="L29" s="2"/>
      <c r="M29" s="2"/>
      <c r="N29" s="2"/>
      <c r="O29" s="2"/>
    </row>
    <row r="30" spans="1:1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6" ht="15" thickBo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6" x14ac:dyDescent="0.35">
      <c r="A36" s="2"/>
      <c r="B36" s="34" t="s">
        <v>1</v>
      </c>
      <c r="C36" s="15" t="s">
        <v>15</v>
      </c>
      <c r="D36" s="19"/>
      <c r="E36" s="17" t="s">
        <v>0</v>
      </c>
      <c r="F36" s="19"/>
      <c r="G36" s="17" t="s">
        <v>2</v>
      </c>
      <c r="H36" s="19"/>
      <c r="I36" s="17" t="s">
        <v>4</v>
      </c>
      <c r="J36" s="19"/>
      <c r="K36" s="17" t="s">
        <v>16</v>
      </c>
      <c r="L36" s="19"/>
      <c r="M36" s="39"/>
      <c r="N36" s="2"/>
      <c r="O36" s="2"/>
    </row>
    <row r="37" spans="1:16" x14ac:dyDescent="0.35">
      <c r="A37" s="2"/>
      <c r="B37" s="35">
        <v>18</v>
      </c>
      <c r="C37" s="12"/>
      <c r="D37" s="23"/>
      <c r="E37" s="11">
        <f>AVERAGE(B37:B49)</f>
        <v>31.923076923076923</v>
      </c>
      <c r="F37" s="23"/>
      <c r="G37" s="11">
        <f>MEDIAN(B37:B49)</f>
        <v>28</v>
      </c>
      <c r="H37" s="23"/>
      <c r="I37" s="11">
        <f>_xlfn.VAR.P(B37:B49)</f>
        <v>342.84023668639054</v>
      </c>
      <c r="J37" s="23"/>
      <c r="K37" s="11">
        <f>_xlfn.STDEV.P(B37:B49)</f>
        <v>18.515945471036325</v>
      </c>
      <c r="L37" s="23"/>
      <c r="M37" s="40"/>
      <c r="N37" s="2"/>
      <c r="O37" s="2"/>
    </row>
    <row r="38" spans="1:16" x14ac:dyDescent="0.35">
      <c r="A38" s="2"/>
      <c r="B38" s="36">
        <v>22</v>
      </c>
      <c r="C38" s="5"/>
      <c r="D38" s="23"/>
      <c r="E38" s="23"/>
      <c r="F38" s="23"/>
      <c r="G38" s="23"/>
      <c r="H38" s="23"/>
      <c r="I38" s="23"/>
      <c r="J38" s="23"/>
      <c r="K38" s="23"/>
      <c r="L38" s="23"/>
      <c r="M38" s="26"/>
      <c r="N38" s="2"/>
      <c r="O38" s="2"/>
    </row>
    <row r="39" spans="1:16" x14ac:dyDescent="0.35">
      <c r="A39" s="2"/>
      <c r="B39" s="36">
        <v>25</v>
      </c>
      <c r="C39" s="5"/>
      <c r="D39" s="23"/>
      <c r="E39" s="23"/>
      <c r="F39" s="23"/>
      <c r="G39" s="23"/>
      <c r="H39" s="23"/>
      <c r="I39" s="23"/>
      <c r="J39" s="23"/>
      <c r="K39" s="23"/>
      <c r="L39" s="23"/>
      <c r="M39" s="26"/>
      <c r="N39" s="2"/>
      <c r="O39" s="2"/>
    </row>
    <row r="40" spans="1:16" x14ac:dyDescent="0.35">
      <c r="A40" s="2"/>
      <c r="B40" s="36">
        <v>25</v>
      </c>
      <c r="C40" s="5"/>
      <c r="D40" s="27"/>
      <c r="E40" s="23"/>
      <c r="F40" s="3" t="s">
        <v>12</v>
      </c>
      <c r="G40" s="23"/>
      <c r="H40" s="3" t="s">
        <v>6</v>
      </c>
      <c r="I40" s="23"/>
      <c r="J40" s="23"/>
      <c r="K40" s="3" t="s">
        <v>17</v>
      </c>
      <c r="L40" s="23"/>
      <c r="M40" s="26"/>
      <c r="N40" s="2"/>
      <c r="O40" s="2"/>
    </row>
    <row r="41" spans="1:16" x14ac:dyDescent="0.35">
      <c r="A41" s="1"/>
      <c r="B41" s="36">
        <v>27</v>
      </c>
      <c r="C41" s="5"/>
      <c r="D41" s="27"/>
      <c r="E41" s="11" t="s">
        <v>14</v>
      </c>
      <c r="F41" s="11">
        <f>_xlfn.QUARTILE.INC(B37:B49,1)-1.5*H41</f>
        <v>17.5</v>
      </c>
      <c r="G41" s="23"/>
      <c r="H41" s="11">
        <f>QUARTILE(B37:B49,3)-QUARTILE(B37:B49,1)</f>
        <v>5</v>
      </c>
      <c r="I41" s="23"/>
      <c r="J41" s="23"/>
      <c r="K41" s="11">
        <f>_xlfn.STDEV.P(B37:B48)</f>
        <v>3.496029493900505</v>
      </c>
      <c r="L41" s="23"/>
      <c r="M41" s="26"/>
      <c r="N41" s="1"/>
      <c r="O41" s="2"/>
      <c r="P41" s="2"/>
    </row>
    <row r="42" spans="1:16" x14ac:dyDescent="0.35">
      <c r="B42" s="36">
        <v>28</v>
      </c>
      <c r="C42" s="5"/>
      <c r="D42" s="27"/>
      <c r="E42" s="11" t="s">
        <v>13</v>
      </c>
      <c r="F42" s="11">
        <f>_xlfn.QUARTILE.INC(B37:B49,3)+1.5*H41</f>
        <v>37.5</v>
      </c>
      <c r="G42" s="23"/>
      <c r="H42" s="23"/>
      <c r="I42" s="23"/>
      <c r="J42" s="23"/>
      <c r="K42" s="23"/>
      <c r="L42" s="23"/>
      <c r="M42" s="26"/>
      <c r="N42" s="1"/>
      <c r="O42" s="2"/>
      <c r="P42" s="2"/>
    </row>
    <row r="43" spans="1:16" x14ac:dyDescent="0.35">
      <c r="B43" s="36">
        <v>28</v>
      </c>
      <c r="C43" s="5"/>
      <c r="D43" s="23"/>
      <c r="E43" s="23"/>
      <c r="F43" s="23"/>
      <c r="G43" s="23"/>
      <c r="H43" s="23"/>
      <c r="I43" s="23"/>
      <c r="J43" s="23"/>
      <c r="K43" s="23"/>
      <c r="L43" s="23"/>
      <c r="M43" s="26"/>
      <c r="N43" s="1"/>
      <c r="O43" s="2"/>
      <c r="P43" s="2"/>
    </row>
    <row r="44" spans="1:16" x14ac:dyDescent="0.35">
      <c r="B44" s="36">
        <v>28</v>
      </c>
      <c r="C44" s="5"/>
      <c r="D44" s="23"/>
      <c r="E44" s="23"/>
      <c r="F44" s="23"/>
      <c r="G44" s="23"/>
      <c r="H44" s="23"/>
      <c r="I44" s="23"/>
      <c r="J44" s="23"/>
      <c r="K44" s="23"/>
      <c r="L44" s="23"/>
      <c r="M44" s="26"/>
      <c r="N44" s="1"/>
      <c r="O44" s="2"/>
      <c r="P44" s="2"/>
    </row>
    <row r="45" spans="1:16" x14ac:dyDescent="0.35">
      <c r="B45" s="36">
        <v>29</v>
      </c>
      <c r="C45" s="5"/>
      <c r="D45" s="23"/>
      <c r="E45" s="23"/>
      <c r="F45" s="23"/>
      <c r="G45" s="23"/>
      <c r="H45" s="23"/>
      <c r="I45" s="23"/>
      <c r="J45" s="23"/>
      <c r="K45" s="23"/>
      <c r="L45" s="23"/>
      <c r="M45" s="26"/>
      <c r="N45" s="1"/>
      <c r="O45" s="2"/>
      <c r="P45" s="2"/>
    </row>
    <row r="46" spans="1:16" x14ac:dyDescent="0.35">
      <c r="B46" s="36">
        <v>30</v>
      </c>
      <c r="C46" s="5"/>
      <c r="D46" s="23"/>
      <c r="E46" s="23"/>
      <c r="F46" s="23"/>
      <c r="G46" s="23"/>
      <c r="H46" s="23"/>
      <c r="I46" s="23"/>
      <c r="J46" s="23"/>
      <c r="K46" s="23"/>
      <c r="L46" s="23"/>
      <c r="M46" s="26"/>
      <c r="N46" s="1"/>
      <c r="O46" s="2"/>
      <c r="P46" s="2"/>
    </row>
    <row r="47" spans="1:16" x14ac:dyDescent="0.35">
      <c r="B47" s="36">
        <v>30</v>
      </c>
      <c r="C47" s="5"/>
      <c r="D47" s="23"/>
      <c r="E47" s="23"/>
      <c r="F47" s="23"/>
      <c r="G47" s="23"/>
      <c r="H47" s="23"/>
      <c r="I47" s="23"/>
      <c r="J47" s="23"/>
      <c r="K47" s="23"/>
      <c r="L47" s="23"/>
      <c r="M47" s="26"/>
      <c r="N47" s="1"/>
      <c r="O47" s="2"/>
      <c r="P47" s="2"/>
    </row>
    <row r="48" spans="1:16" x14ac:dyDescent="0.35">
      <c r="B48" s="36">
        <v>30</v>
      </c>
      <c r="C48" s="5"/>
      <c r="D48" s="23"/>
      <c r="E48" s="23"/>
      <c r="F48" s="23"/>
      <c r="G48" s="23"/>
      <c r="H48" s="23"/>
      <c r="I48" s="23"/>
      <c r="J48" s="23"/>
      <c r="K48" s="23"/>
      <c r="L48" s="23"/>
      <c r="M48" s="26"/>
      <c r="N48" s="1"/>
      <c r="O48" s="2"/>
      <c r="P48" s="2"/>
    </row>
    <row r="49" spans="1:16" ht="15" thickBot="1" x14ac:dyDescent="0.4">
      <c r="B49" s="37">
        <v>95</v>
      </c>
      <c r="C49" s="38"/>
      <c r="D49" s="32"/>
      <c r="E49" s="32"/>
      <c r="F49" s="32"/>
      <c r="G49" s="32"/>
      <c r="H49" s="32"/>
      <c r="I49" s="32"/>
      <c r="J49" s="32"/>
      <c r="K49" s="32"/>
      <c r="L49" s="32"/>
      <c r="M49" s="33"/>
      <c r="N49" s="1"/>
      <c r="O49" s="2"/>
      <c r="P49" s="2"/>
    </row>
    <row r="50" spans="1:16" x14ac:dyDescent="0.35">
      <c r="M50" s="1"/>
      <c r="N50" s="1"/>
      <c r="O50" s="2"/>
      <c r="P50" s="2"/>
    </row>
    <row r="51" spans="1:16" x14ac:dyDescent="0.35">
      <c r="M51" s="1"/>
      <c r="N51" s="1"/>
      <c r="O51" s="2"/>
      <c r="P51" s="2"/>
    </row>
    <row r="52" spans="1:16" x14ac:dyDescent="0.35">
      <c r="M52" s="1"/>
      <c r="N52" s="1"/>
      <c r="O52" s="2"/>
      <c r="P52" s="2"/>
    </row>
    <row r="53" spans="1:16" x14ac:dyDescent="0.35">
      <c r="M53" s="1"/>
      <c r="N53" s="1"/>
      <c r="O53" s="2"/>
      <c r="P53" s="2"/>
    </row>
    <row r="54" spans="1:16" x14ac:dyDescent="0.35">
      <c r="M54" s="1"/>
      <c r="N54" s="1"/>
      <c r="O54" s="2"/>
      <c r="P54" s="2"/>
    </row>
    <row r="55" spans="1:16" x14ac:dyDescent="0.35">
      <c r="M55" s="1"/>
      <c r="N55" s="1"/>
      <c r="O55" s="2"/>
      <c r="P55" s="2"/>
    </row>
    <row r="56" spans="1:1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</row>
    <row r="57" spans="1:1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</row>
    <row r="58" spans="1:1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</row>
    <row r="59" spans="1:1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</row>
    <row r="60" spans="1:1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</row>
    <row r="61" spans="1:1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</row>
    <row r="62" spans="1:1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</row>
    <row r="63" spans="1:1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</row>
    <row r="64" spans="1:1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</row>
    <row r="65" spans="1:1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</row>
    <row r="66" spans="1:1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</row>
    <row r="67" spans="1:1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</row>
    <row r="68" spans="1: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6" x14ac:dyDescent="0.35">
      <c r="E70" s="2"/>
    </row>
    <row r="71" spans="1:16" x14ac:dyDescent="0.35">
      <c r="E7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2026-07-01T08:29:22Z</dcterms:created>
  <dcterms:modified xsi:type="dcterms:W3CDTF">2026-07-01T10:41:57Z</dcterms:modified>
</cp:coreProperties>
</file>