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pll/Desktop/Epicode/"/>
    </mc:Choice>
  </mc:AlternateContent>
  <xr:revisionPtr revIDLastSave="0" documentId="8_{CE77EA77-892A-054F-B52C-BFB36C629739}" xr6:coauthVersionLast="47" xr6:coauthVersionMax="47" xr10:uidLastSave="{00000000-0000-0000-0000-000000000000}"/>
  <bookViews>
    <workbookView xWindow="0" yWindow="500" windowWidth="28800" windowHeight="15720" xr2:uid="{2E638053-CBBB-3A4B-9468-36A9CC4C3D87}"/>
  </bookViews>
  <sheets>
    <sheet name="W2D1 TRACCIA " sheetId="5" r:id="rId1"/>
    <sheet name="Conf. 90%" sheetId="4" r:id="rId2"/>
    <sheet name="Conf. 90% C324" sheetId="11" r:id="rId3"/>
    <sheet name="Conf. 95%" sheetId="2" r:id="rId4"/>
    <sheet name="Conf.  95% C324" sheetId="9" r:id="rId5"/>
    <sheet name="Conf.  99%" sheetId="3" r:id="rId6"/>
    <sheet name="Conf. 99% C324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1" l="1"/>
  <c r="E6" i="11" s="1"/>
  <c r="D5" i="11"/>
  <c r="D8" i="10"/>
  <c r="E6" i="10" s="1"/>
  <c r="D5" i="10"/>
  <c r="D8" i="9"/>
  <c r="E6" i="9" s="1"/>
  <c r="D5" i="9"/>
  <c r="D8" i="4"/>
  <c r="E6" i="4" s="1"/>
  <c r="E7" i="4" s="1"/>
  <c r="D9" i="3"/>
  <c r="D8" i="3"/>
  <c r="E6" i="3" s="1"/>
  <c r="D5" i="4"/>
  <c r="D5" i="3"/>
  <c r="D7" i="3" s="1"/>
  <c r="D9" i="5"/>
  <c r="D8" i="5"/>
  <c r="E6" i="5" s="1"/>
  <c r="D5" i="5"/>
  <c r="D8" i="2"/>
  <c r="D9" i="2"/>
  <c r="D5" i="2"/>
  <c r="D7" i="4" l="1"/>
  <c r="D11" i="4" s="1"/>
  <c r="E7" i="3"/>
  <c r="D11" i="3" s="1"/>
  <c r="E7" i="11"/>
  <c r="D7" i="11"/>
  <c r="E7" i="10"/>
  <c r="D7" i="10"/>
  <c r="E7" i="9"/>
  <c r="D7" i="9"/>
  <c r="E7" i="5"/>
  <c r="D7" i="5"/>
  <c r="E6" i="2"/>
  <c r="E7" i="2" s="1"/>
  <c r="D11" i="11" l="1"/>
  <c r="D11" i="10"/>
  <c r="D11" i="9"/>
  <c r="D7" i="2"/>
  <c r="D11" i="2" s="1"/>
</calcChain>
</file>

<file path=xl/sharedStrings.xml><?xml version="1.0" encoding="utf-8"?>
<sst xmlns="http://schemas.openxmlformats.org/spreadsheetml/2006/main" count="135" uniqueCount="20">
  <si>
    <t>Esercizio - Intervallo di confidenza</t>
  </si>
  <si>
    <t>Valori del campione</t>
  </si>
  <si>
    <t>Calcoli</t>
  </si>
  <si>
    <t>Osservazione</t>
  </si>
  <si>
    <t>Media Campionaria</t>
  </si>
  <si>
    <t>Livello di confidenza</t>
  </si>
  <si>
    <t>Deviazione standard</t>
  </si>
  <si>
    <t>Dimensione campione</t>
  </si>
  <si>
    <t>Alpha</t>
  </si>
  <si>
    <t>Consegna</t>
  </si>
  <si>
    <t>1</t>
  </si>
  <si>
    <t>Calcola la media campionaria come stima puntuale con MEDIA.</t>
  </si>
  <si>
    <t>2</t>
  </si>
  <si>
    <t>Calcola il margine di errore al 95% e scrivi l'intervallo.</t>
  </si>
  <si>
    <t>3</t>
  </si>
  <si>
    <t>Interpreta a parole l'intervallo evitando l'errore comune.</t>
  </si>
  <si>
    <t>Nota</t>
  </si>
  <si>
    <t>In questo file i dati grezzi sono presenti in A5:A85.</t>
  </si>
  <si>
    <t>Intervallo di confidenza</t>
  </si>
  <si>
    <t>Ampiezza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</si>
</sst>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3" borderId="0" xfId="1" applyFont="1" applyFill="1"/>
    <xf numFmtId="2" fontId="4" fillId="4" borderId="0" xfId="1" applyNumberFormat="1" applyFont="1" applyFill="1" applyAlignment="1">
      <alignment horizontal="center" vertical="center"/>
    </xf>
    <xf numFmtId="2" fontId="0" fillId="0" borderId="0" xfId="1" applyNumberFormat="1" applyFont="1"/>
    <xf numFmtId="9" fontId="0" fillId="0" borderId="0" xfId="0" applyNumberFormat="1"/>
    <xf numFmtId="0" fontId="3" fillId="0" borderId="0" xfId="1" applyFont="1"/>
    <xf numFmtId="2" fontId="0" fillId="0" borderId="0" xfId="0" applyNumberFormat="1"/>
    <xf numFmtId="0" fontId="3" fillId="5" borderId="0" xfId="1" applyFont="1" applyFill="1"/>
    <xf numFmtId="2" fontId="0" fillId="5" borderId="0" xfId="1" applyNumberFormat="1" applyFont="1" applyFill="1"/>
    <xf numFmtId="0" fontId="2" fillId="2" borderId="0" xfId="1" applyFont="1" applyFill="1" applyAlignment="1">
      <alignment horizontal="center" vertical="center"/>
    </xf>
    <xf numFmtId="0" fontId="3" fillId="3" borderId="0" xfId="1" applyFont="1" applyFill="1"/>
    <xf numFmtId="0" fontId="3" fillId="0" borderId="0" xfId="1" applyFont="1"/>
  </cellXfs>
  <cellStyles count="2">
    <cellStyle name="Normal" xfId="1" xr:uid="{5CCF0C1B-0959-AA48-B7C8-FF8BD44C5591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18</xdr:row>
      <xdr:rowOff>63501</xdr:rowOff>
    </xdr:from>
    <xdr:to>
      <xdr:col>6</xdr:col>
      <xdr:colOff>38100</xdr:colOff>
      <xdr:row>29</xdr:row>
      <xdr:rowOff>177801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40A3915-5EC2-59E6-8366-F39C70C4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3924301"/>
          <a:ext cx="6121400" cy="234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18</xdr:row>
      <xdr:rowOff>1</xdr:rowOff>
    </xdr:from>
    <xdr:to>
      <xdr:col>6</xdr:col>
      <xdr:colOff>50800</xdr:colOff>
      <xdr:row>29</xdr:row>
      <xdr:rowOff>114301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1CEFE01-A534-D344-97ED-CEBE6E9A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00" y="3860801"/>
          <a:ext cx="6121400" cy="234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18</xdr:row>
      <xdr:rowOff>63500</xdr:rowOff>
    </xdr:from>
    <xdr:to>
      <xdr:col>7</xdr:col>
      <xdr:colOff>939800</xdr:colOff>
      <xdr:row>32</xdr:row>
      <xdr:rowOff>136267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ED820A4-4CC1-1049-9D5B-5268E4301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400" y="3924300"/>
          <a:ext cx="7772400" cy="29175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18</xdr:row>
      <xdr:rowOff>38100</xdr:rowOff>
    </xdr:from>
    <xdr:to>
      <xdr:col>7</xdr:col>
      <xdr:colOff>914400</xdr:colOff>
      <xdr:row>32</xdr:row>
      <xdr:rowOff>110867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160C320-216B-324D-BA5B-EBFB96AC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3898900"/>
          <a:ext cx="7772400" cy="29175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25400</xdr:rowOff>
    </xdr:from>
    <xdr:to>
      <xdr:col>8</xdr:col>
      <xdr:colOff>228600</xdr:colOff>
      <xdr:row>32</xdr:row>
      <xdr:rowOff>98167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2C50099-7D1F-3F89-E0A4-F7A07447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0" y="3886200"/>
          <a:ext cx="7772400" cy="29175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18</xdr:row>
      <xdr:rowOff>50800</xdr:rowOff>
    </xdr:from>
    <xdr:to>
      <xdr:col>8</xdr:col>
      <xdr:colOff>254000</xdr:colOff>
      <xdr:row>32</xdr:row>
      <xdr:rowOff>123567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B42148E-6EAE-3749-B01F-76DD3963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00" y="3911600"/>
          <a:ext cx="7772400" cy="29175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86A8-4D23-6F4A-82FD-6021C65CB7F6}">
  <dimension ref="A1:F85"/>
  <sheetViews>
    <sheetView tabSelected="1" zoomScale="91" zoomScaleNormal="80" workbookViewId="0">
      <selection activeCell="K9" sqref="K9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</cols>
  <sheetData>
    <row r="1" spans="1:6" ht="32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/>
      <c r="C3" s="10" t="s">
        <v>2</v>
      </c>
      <c r="D3" s="10"/>
      <c r="E3" s="10"/>
      <c r="F3" s="10"/>
    </row>
    <row r="4" spans="1:6">
      <c r="A4" s="2" t="s">
        <v>3</v>
      </c>
    </row>
    <row r="5" spans="1:6">
      <c r="A5" s="3">
        <v>50.226791890560854</v>
      </c>
      <c r="C5" t="s">
        <v>4</v>
      </c>
      <c r="D5" s="3">
        <f>AVERAGE(A5:A85)</f>
        <v>52.000000000000014</v>
      </c>
    </row>
    <row r="6" spans="1:6">
      <c r="A6" s="3">
        <v>49.929976818027036</v>
      </c>
      <c r="C6" t="s">
        <v>5</v>
      </c>
      <c r="D6" s="4">
        <v>0.95</v>
      </c>
      <c r="E6">
        <f>_xlfn.CONFIDENCE.NORM(D10,D8,D9)</f>
        <v>1.9599639845400272</v>
      </c>
    </row>
    <row r="7" spans="1:6">
      <c r="A7" s="3">
        <v>50.56441257177115</v>
      </c>
      <c r="C7" t="s">
        <v>18</v>
      </c>
      <c r="D7" s="6">
        <f>D5-E6</f>
        <v>50.040036015459989</v>
      </c>
      <c r="E7" s="6">
        <f>D5+E6</f>
        <v>53.959963984540039</v>
      </c>
    </row>
    <row r="8" spans="1:6">
      <c r="A8" s="3">
        <v>58.942481756369347</v>
      </c>
      <c r="C8" t="s">
        <v>6</v>
      </c>
      <c r="D8">
        <f>_xlfn.STDEV.S(A5:A85)</f>
        <v>8.9999999999998792</v>
      </c>
    </row>
    <row r="9" spans="1:6">
      <c r="A9" s="3">
        <v>50.396784945549271</v>
      </c>
      <c r="C9" t="s">
        <v>7</v>
      </c>
      <c r="D9">
        <f>COUNTA(A5:A85)</f>
        <v>81</v>
      </c>
    </row>
    <row r="10" spans="1:6">
      <c r="A10" s="3">
        <v>36.286379359949052</v>
      </c>
      <c r="C10" t="s">
        <v>8</v>
      </c>
      <c r="D10" s="4">
        <v>0.05</v>
      </c>
    </row>
    <row r="11" spans="1:6">
      <c r="A11" s="3">
        <v>55.134435879789187</v>
      </c>
      <c r="C11" s="5"/>
      <c r="D11" s="3"/>
    </row>
    <row r="12" spans="1:6">
      <c r="A12" s="3">
        <v>48.957182072262427</v>
      </c>
      <c r="C12" s="5"/>
      <c r="D12" s="3"/>
    </row>
    <row r="13" spans="1:6">
      <c r="A13" s="3">
        <v>49.476150766501469</v>
      </c>
    </row>
    <row r="14" spans="1:6">
      <c r="A14" s="3">
        <v>52.904881915646136</v>
      </c>
    </row>
    <row r="15" spans="1:6">
      <c r="A15" s="3">
        <v>54.104090382977908</v>
      </c>
      <c r="C15" s="10" t="s">
        <v>9</v>
      </c>
      <c r="D15" s="10"/>
      <c r="E15" s="10"/>
      <c r="F15" s="10"/>
    </row>
    <row r="16" spans="1:6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 t="s">
        <v>16</v>
      </c>
      <c r="D19" t="s">
        <v>17</v>
      </c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CE7-5633-EA40-B311-CA0369B1CE4B}">
  <dimension ref="A1:F85"/>
  <sheetViews>
    <sheetView workbookViewId="0">
      <selection activeCell="J19" sqref="J19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</cols>
  <sheetData>
    <row r="1" spans="1:6" ht="32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/>
      <c r="C3" s="10" t="s">
        <v>2</v>
      </c>
      <c r="D3" s="10"/>
      <c r="E3" s="10"/>
      <c r="F3" s="10"/>
    </row>
    <row r="4" spans="1:6">
      <c r="A4" s="2" t="s">
        <v>3</v>
      </c>
    </row>
    <row r="5" spans="1:6">
      <c r="A5" s="3">
        <v>50.226791890560854</v>
      </c>
      <c r="C5" t="s">
        <v>4</v>
      </c>
      <c r="D5" s="3">
        <f>AVERAGE(A5:A85)</f>
        <v>52.000000000000014</v>
      </c>
    </row>
    <row r="6" spans="1:6">
      <c r="A6" s="3">
        <v>49.929976818027036</v>
      </c>
      <c r="C6" t="s">
        <v>5</v>
      </c>
      <c r="D6" s="4">
        <v>0.9</v>
      </c>
      <c r="E6">
        <f>_xlfn.CONFIDENCE.NORM(D10,D8,D9)</f>
        <v>1.6448536269514493</v>
      </c>
    </row>
    <row r="7" spans="1:6">
      <c r="A7" s="3">
        <v>50.56441257177115</v>
      </c>
      <c r="C7" t="s">
        <v>18</v>
      </c>
      <c r="D7" s="6">
        <f>D5-E6</f>
        <v>50.355146373048562</v>
      </c>
      <c r="E7" s="6">
        <f>D5+E6</f>
        <v>53.644853626951466</v>
      </c>
    </row>
    <row r="8" spans="1:6">
      <c r="A8" s="3">
        <v>58.942481756369347</v>
      </c>
      <c r="C8" t="s">
        <v>6</v>
      </c>
      <c r="D8">
        <f>_xlfn.STDEV.S(A5:A85)</f>
        <v>8.9999999999998792</v>
      </c>
    </row>
    <row r="9" spans="1:6">
      <c r="A9" s="3">
        <v>50.396784945549271</v>
      </c>
      <c r="C9" t="s">
        <v>7</v>
      </c>
      <c r="D9">
        <v>81</v>
      </c>
    </row>
    <row r="10" spans="1:6">
      <c r="A10" s="3">
        <v>36.286379359949052</v>
      </c>
      <c r="C10" t="s">
        <v>8</v>
      </c>
      <c r="D10" s="4">
        <v>0.1</v>
      </c>
    </row>
    <row r="11" spans="1:6">
      <c r="A11" s="3">
        <v>55.134435879789187</v>
      </c>
      <c r="C11" s="7" t="s">
        <v>19</v>
      </c>
      <c r="D11" s="8">
        <f>E7-D7</f>
        <v>3.289707253902904</v>
      </c>
    </row>
    <row r="12" spans="1:6">
      <c r="A12" s="3">
        <v>48.957182072262427</v>
      </c>
      <c r="C12" s="5"/>
      <c r="D12" s="3"/>
    </row>
    <row r="13" spans="1:6">
      <c r="A13" s="3">
        <v>49.476150766501469</v>
      </c>
    </row>
    <row r="14" spans="1:6">
      <c r="A14" s="3">
        <v>52.904881915646136</v>
      </c>
    </row>
    <row r="15" spans="1:6">
      <c r="A15" s="3">
        <v>54.104090382977908</v>
      </c>
      <c r="C15" s="10" t="s">
        <v>9</v>
      </c>
      <c r="D15" s="10"/>
      <c r="E15" s="10"/>
      <c r="F15" s="10"/>
    </row>
    <row r="16" spans="1:6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/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6107-EFED-3F46-AC4B-EBA272B226E6}">
  <dimension ref="A1:F85"/>
  <sheetViews>
    <sheetView topLeftCell="A4" workbookViewId="0">
      <selection activeCell="C16" sqref="C16:F18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</cols>
  <sheetData>
    <row r="1" spans="1:6" ht="32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/>
      <c r="C3" s="10" t="s">
        <v>2</v>
      </c>
      <c r="D3" s="10"/>
      <c r="E3" s="10"/>
      <c r="F3" s="10"/>
    </row>
    <row r="4" spans="1:6">
      <c r="A4" s="2" t="s">
        <v>3</v>
      </c>
    </row>
    <row r="5" spans="1:6">
      <c r="A5" s="3">
        <v>50.226791890560854</v>
      </c>
      <c r="C5" t="s">
        <v>4</v>
      </c>
      <c r="D5" s="3">
        <f>AVERAGE(A5:A85)</f>
        <v>52.000000000000014</v>
      </c>
    </row>
    <row r="6" spans="1:6">
      <c r="A6" s="3">
        <v>49.929976818027036</v>
      </c>
      <c r="C6" t="s">
        <v>5</v>
      </c>
      <c r="D6" s="4">
        <v>0.9</v>
      </c>
      <c r="E6">
        <f>_xlfn.CONFIDENCE.NORM(D10,D8,D9)</f>
        <v>0.82242681347572466</v>
      </c>
    </row>
    <row r="7" spans="1:6">
      <c r="A7" s="3">
        <v>50.56441257177115</v>
      </c>
      <c r="C7" t="s">
        <v>18</v>
      </c>
      <c r="D7" s="6">
        <f>D5-E6</f>
        <v>51.177573186524292</v>
      </c>
      <c r="E7" s="6">
        <f>D5+E6</f>
        <v>52.822426813475737</v>
      </c>
    </row>
    <row r="8" spans="1:6">
      <c r="A8" s="3">
        <v>58.942481756369347</v>
      </c>
      <c r="C8" t="s">
        <v>6</v>
      </c>
      <c r="D8">
        <f>_xlfn.STDEV.S(A5:A85)</f>
        <v>8.9999999999998792</v>
      </c>
    </row>
    <row r="9" spans="1:6">
      <c r="A9" s="3">
        <v>50.396784945549271</v>
      </c>
      <c r="C9" t="s">
        <v>7</v>
      </c>
      <c r="D9">
        <v>324</v>
      </c>
    </row>
    <row r="10" spans="1:6">
      <c r="A10" s="3">
        <v>36.286379359949052</v>
      </c>
      <c r="C10" t="s">
        <v>8</v>
      </c>
      <c r="D10" s="4">
        <v>0.1</v>
      </c>
    </row>
    <row r="11" spans="1:6">
      <c r="A11" s="3">
        <v>55.134435879789187</v>
      </c>
      <c r="C11" s="7" t="s">
        <v>19</v>
      </c>
      <c r="D11" s="8">
        <f>E7-D7</f>
        <v>1.6448536269514449</v>
      </c>
    </row>
    <row r="12" spans="1:6">
      <c r="A12" s="3">
        <v>48.957182072262427</v>
      </c>
      <c r="C12" s="5"/>
      <c r="D12" s="3"/>
    </row>
    <row r="13" spans="1:6">
      <c r="A13" s="3">
        <v>49.476150766501469</v>
      </c>
    </row>
    <row r="14" spans="1:6">
      <c r="A14" s="3">
        <v>52.904881915646136</v>
      </c>
    </row>
    <row r="15" spans="1:6">
      <c r="A15" s="3">
        <v>54.104090382977908</v>
      </c>
      <c r="C15" s="10" t="s">
        <v>9</v>
      </c>
      <c r="D15" s="10"/>
      <c r="E15" s="10"/>
      <c r="F15" s="10"/>
    </row>
    <row r="16" spans="1:6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/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E65E-EC98-C641-90EF-F7CDDE9FCCA0}">
  <dimension ref="A1:J85"/>
  <sheetViews>
    <sheetView topLeftCell="A8" zoomScaleNormal="100" workbookViewId="0">
      <selection activeCell="L18" sqref="L18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  <col min="8" max="8" width="15.1640625" customWidth="1"/>
  </cols>
  <sheetData>
    <row r="1" spans="1:10" ht="32" customHeight="1">
      <c r="A1" s="9" t="s">
        <v>0</v>
      </c>
      <c r="B1" s="9"/>
      <c r="C1" s="9"/>
      <c r="D1" s="9"/>
      <c r="E1" s="9"/>
      <c r="F1" s="9"/>
    </row>
    <row r="3" spans="1:10">
      <c r="A3" s="1" t="s">
        <v>1</v>
      </c>
      <c r="B3" s="1"/>
      <c r="C3" s="10" t="s">
        <v>2</v>
      </c>
      <c r="D3" s="10"/>
      <c r="E3" s="10"/>
      <c r="F3" s="10"/>
      <c r="G3" s="10"/>
      <c r="H3" s="10"/>
      <c r="I3" s="10"/>
      <c r="J3" s="10"/>
    </row>
    <row r="4" spans="1:10">
      <c r="A4" s="2" t="s">
        <v>3</v>
      </c>
    </row>
    <row r="5" spans="1:10">
      <c r="A5" s="3">
        <v>50.226791890560854</v>
      </c>
      <c r="C5" t="s">
        <v>4</v>
      </c>
      <c r="D5" s="3">
        <f>AVERAGE(A5:A85)</f>
        <v>52.000000000000014</v>
      </c>
      <c r="H5" s="3"/>
    </row>
    <row r="6" spans="1:10">
      <c r="A6" s="3">
        <v>49.929976818027036</v>
      </c>
      <c r="C6" t="s">
        <v>5</v>
      </c>
      <c r="D6" s="4">
        <v>0.95</v>
      </c>
      <c r="E6">
        <f>_xlfn.CONFIDENCE.NORM(D10,D8,D9)</f>
        <v>1.9599639845400272</v>
      </c>
      <c r="H6" s="4"/>
    </row>
    <row r="7" spans="1:10">
      <c r="A7" s="3">
        <v>50.56441257177115</v>
      </c>
      <c r="C7" t="s">
        <v>18</v>
      </c>
      <c r="D7" s="6">
        <f>D5-E6</f>
        <v>50.040036015459989</v>
      </c>
      <c r="E7" s="6">
        <f>D5+E6</f>
        <v>53.959963984540039</v>
      </c>
      <c r="H7" s="6"/>
      <c r="I7" s="6"/>
    </row>
    <row r="8" spans="1:10">
      <c r="A8" s="3">
        <v>58.942481756369347</v>
      </c>
      <c r="C8" t="s">
        <v>6</v>
      </c>
      <c r="D8">
        <f>_xlfn.STDEV.S(A5:A85)</f>
        <v>8.9999999999998792</v>
      </c>
    </row>
    <row r="9" spans="1:10">
      <c r="A9" s="3">
        <v>50.396784945549271</v>
      </c>
      <c r="C9" t="s">
        <v>7</v>
      </c>
      <c r="D9">
        <f>COUNTA(A5:A85)</f>
        <v>81</v>
      </c>
    </row>
    <row r="10" spans="1:10">
      <c r="A10" s="3">
        <v>36.286379359949052</v>
      </c>
      <c r="C10" t="s">
        <v>8</v>
      </c>
      <c r="D10" s="4">
        <v>0.05</v>
      </c>
      <c r="H10" s="4"/>
    </row>
    <row r="11" spans="1:10">
      <c r="A11" s="3">
        <v>55.134435879789187</v>
      </c>
      <c r="C11" s="7" t="s">
        <v>19</v>
      </c>
      <c r="D11" s="8">
        <f>E7-D7</f>
        <v>3.9199279690800495</v>
      </c>
      <c r="G11" s="7"/>
      <c r="H11" s="8"/>
    </row>
    <row r="12" spans="1:10">
      <c r="A12" s="3">
        <v>48.957182072262427</v>
      </c>
      <c r="C12" s="5"/>
      <c r="D12" s="3"/>
      <c r="G12" s="5"/>
      <c r="H12" s="3"/>
    </row>
    <row r="13" spans="1:10">
      <c r="A13" s="3">
        <v>49.476150766501469</v>
      </c>
    </row>
    <row r="14" spans="1:10">
      <c r="A14" s="3">
        <v>52.904881915646136</v>
      </c>
    </row>
    <row r="15" spans="1:10">
      <c r="A15" s="3">
        <v>54.104090382977908</v>
      </c>
      <c r="C15" s="10" t="s">
        <v>9</v>
      </c>
      <c r="D15" s="10"/>
      <c r="E15" s="10"/>
      <c r="F15" s="10"/>
    </row>
    <row r="16" spans="1:10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 t="s">
        <v>16</v>
      </c>
      <c r="D19" t="s">
        <v>17</v>
      </c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4">
    <mergeCell ref="A1:F1"/>
    <mergeCell ref="C3:F3"/>
    <mergeCell ref="C15:F15"/>
    <mergeCell ref="G3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A868-0F0C-D54B-9D34-8DCC301E4209}">
  <dimension ref="A1:J85"/>
  <sheetViews>
    <sheetView topLeftCell="A5" zoomScaleNormal="100" workbookViewId="0">
      <selection activeCell="J19" sqref="J19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  <col min="8" max="8" width="15.1640625" customWidth="1"/>
  </cols>
  <sheetData>
    <row r="1" spans="1:10" ht="32" customHeight="1">
      <c r="A1" s="9" t="s">
        <v>0</v>
      </c>
      <c r="B1" s="9"/>
      <c r="C1" s="9"/>
      <c r="D1" s="9"/>
      <c r="E1" s="9"/>
      <c r="F1" s="9"/>
    </row>
    <row r="3" spans="1:10">
      <c r="A3" s="1" t="s">
        <v>1</v>
      </c>
      <c r="B3" s="1"/>
      <c r="C3" s="10" t="s">
        <v>2</v>
      </c>
      <c r="D3" s="10"/>
      <c r="E3" s="10"/>
      <c r="F3" s="10"/>
      <c r="G3" s="11"/>
      <c r="H3" s="11"/>
      <c r="I3" s="11"/>
      <c r="J3" s="11"/>
    </row>
    <row r="4" spans="1:10">
      <c r="A4" s="2" t="s">
        <v>3</v>
      </c>
    </row>
    <row r="5" spans="1:10">
      <c r="A5" s="3">
        <v>50.226791890560854</v>
      </c>
      <c r="C5" t="s">
        <v>4</v>
      </c>
      <c r="D5" s="3">
        <f>AVERAGE(A5:A85)</f>
        <v>52.000000000000014</v>
      </c>
      <c r="H5" s="3"/>
    </row>
    <row r="6" spans="1:10">
      <c r="A6" s="3">
        <v>49.929976818027036</v>
      </c>
      <c r="C6" t="s">
        <v>5</v>
      </c>
      <c r="D6" s="4">
        <v>0.95</v>
      </c>
      <c r="E6">
        <f>_xlfn.CONFIDENCE.NORM(D10,D8,D9)</f>
        <v>0.97998199227001359</v>
      </c>
      <c r="H6" s="4"/>
    </row>
    <row r="7" spans="1:10">
      <c r="A7" s="3">
        <v>50.56441257177115</v>
      </c>
      <c r="C7" t="s">
        <v>18</v>
      </c>
      <c r="D7" s="6">
        <f>D5-E6</f>
        <v>51.020018007730002</v>
      </c>
      <c r="E7" s="6">
        <f>D5+E6</f>
        <v>52.979981992270027</v>
      </c>
      <c r="H7" s="6"/>
      <c r="I7" s="6"/>
    </row>
    <row r="8" spans="1:10">
      <c r="A8" s="3">
        <v>58.942481756369347</v>
      </c>
      <c r="C8" t="s">
        <v>6</v>
      </c>
      <c r="D8">
        <f>_xlfn.STDEV.S(A5:A85)</f>
        <v>8.9999999999998792</v>
      </c>
    </row>
    <row r="9" spans="1:10">
      <c r="A9" s="3">
        <v>50.396784945549271</v>
      </c>
      <c r="C9" t="s">
        <v>7</v>
      </c>
      <c r="D9">
        <v>324</v>
      </c>
    </row>
    <row r="10" spans="1:10">
      <c r="A10" s="3">
        <v>36.286379359949052</v>
      </c>
      <c r="C10" t="s">
        <v>8</v>
      </c>
      <c r="D10" s="4">
        <v>0.05</v>
      </c>
      <c r="H10" s="4"/>
    </row>
    <row r="11" spans="1:10">
      <c r="A11" s="3">
        <v>55.134435879789187</v>
      </c>
      <c r="C11" s="7" t="s">
        <v>19</v>
      </c>
      <c r="D11" s="8">
        <f>E7-D7</f>
        <v>1.9599639845400247</v>
      </c>
      <c r="G11" s="5"/>
      <c r="H11" s="3"/>
    </row>
    <row r="12" spans="1:10">
      <c r="A12" s="3">
        <v>48.957182072262427</v>
      </c>
      <c r="C12" s="5"/>
      <c r="D12" s="3"/>
      <c r="G12" s="5"/>
      <c r="H12" s="3"/>
    </row>
    <row r="13" spans="1:10">
      <c r="A13" s="3">
        <v>49.476150766501469</v>
      </c>
    </row>
    <row r="14" spans="1:10">
      <c r="A14" s="3">
        <v>52.904881915646136</v>
      </c>
    </row>
    <row r="15" spans="1:10">
      <c r="A15" s="3">
        <v>54.104090382977908</v>
      </c>
      <c r="C15" s="10" t="s">
        <v>9</v>
      </c>
      <c r="D15" s="10"/>
      <c r="E15" s="10"/>
      <c r="F15" s="10"/>
    </row>
    <row r="16" spans="1:10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 t="s">
        <v>16</v>
      </c>
      <c r="D19" t="s">
        <v>17</v>
      </c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4">
    <mergeCell ref="A1:F1"/>
    <mergeCell ref="C3:F3"/>
    <mergeCell ref="G3:J3"/>
    <mergeCell ref="C15:F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F659-A1A7-814F-BAB4-BC2EE2C7B8D0}">
  <dimension ref="A1:F85"/>
  <sheetViews>
    <sheetView topLeftCell="A7" workbookViewId="0">
      <selection activeCell="M9" sqref="M9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</cols>
  <sheetData>
    <row r="1" spans="1:6" ht="32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/>
      <c r="C3" s="10" t="s">
        <v>2</v>
      </c>
      <c r="D3" s="10"/>
      <c r="E3" s="10"/>
      <c r="F3" s="10"/>
    </row>
    <row r="4" spans="1:6">
      <c r="A4" s="2" t="s">
        <v>3</v>
      </c>
    </row>
    <row r="5" spans="1:6">
      <c r="A5" s="3">
        <v>50.226791890560854</v>
      </c>
      <c r="C5" t="s">
        <v>4</v>
      </c>
      <c r="D5" s="3">
        <f>AVERAGE(A5:A85)</f>
        <v>52.000000000000014</v>
      </c>
    </row>
    <row r="6" spans="1:6">
      <c r="A6" s="3">
        <v>49.929976818027036</v>
      </c>
      <c r="C6" t="s">
        <v>5</v>
      </c>
      <c r="D6" s="4">
        <v>0.99</v>
      </c>
      <c r="E6">
        <f>_xlfn.CONFIDENCE.NORM(D10,D8,D9)</f>
        <v>2.5758293035488653</v>
      </c>
    </row>
    <row r="7" spans="1:6">
      <c r="A7" s="3">
        <v>50.56441257177115</v>
      </c>
      <c r="C7" t="s">
        <v>18</v>
      </c>
      <c r="D7" s="6">
        <f>D5-E6</f>
        <v>49.424170696451149</v>
      </c>
      <c r="E7" s="6">
        <f>D5+E6</f>
        <v>54.575829303548879</v>
      </c>
    </row>
    <row r="8" spans="1:6">
      <c r="A8" s="3">
        <v>58.942481756369347</v>
      </c>
      <c r="C8" t="s">
        <v>6</v>
      </c>
      <c r="D8">
        <f>_xlfn.STDEV.S(A5:A85)</f>
        <v>8.9999999999998792</v>
      </c>
    </row>
    <row r="9" spans="1:6">
      <c r="A9" s="3">
        <v>50.396784945549271</v>
      </c>
      <c r="C9" t="s">
        <v>7</v>
      </c>
      <c r="D9">
        <f>COUNTA(A5:A85)</f>
        <v>81</v>
      </c>
    </row>
    <row r="10" spans="1:6">
      <c r="A10" s="3">
        <v>36.286379359949052</v>
      </c>
      <c r="C10" t="s">
        <v>8</v>
      </c>
      <c r="D10" s="4">
        <v>0.01</v>
      </c>
    </row>
    <row r="11" spans="1:6">
      <c r="A11" s="3">
        <v>55.134435879789187</v>
      </c>
      <c r="C11" s="7" t="s">
        <v>19</v>
      </c>
      <c r="D11" s="8">
        <f>E7-D7</f>
        <v>5.1516586070977297</v>
      </c>
    </row>
    <row r="12" spans="1:6">
      <c r="A12" s="3">
        <v>48.957182072262427</v>
      </c>
      <c r="C12" s="5"/>
      <c r="D12" s="3"/>
    </row>
    <row r="13" spans="1:6">
      <c r="A13" s="3">
        <v>49.476150766501469</v>
      </c>
    </row>
    <row r="14" spans="1:6">
      <c r="A14" s="3">
        <v>52.904881915646136</v>
      </c>
    </row>
    <row r="15" spans="1:6">
      <c r="A15" s="3">
        <v>54.104090382977908</v>
      </c>
      <c r="C15" s="10" t="s">
        <v>9</v>
      </c>
      <c r="D15" s="10"/>
      <c r="E15" s="10"/>
      <c r="F15" s="10"/>
    </row>
    <row r="16" spans="1:6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 t="s">
        <v>16</v>
      </c>
      <c r="D19" t="s">
        <v>17</v>
      </c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465F-3C8C-D040-9A38-EEB2213FFDC5}">
  <dimension ref="A1:F85"/>
  <sheetViews>
    <sheetView topLeftCell="A10" workbookViewId="0">
      <selection activeCell="C16" sqref="C16:F18"/>
    </sheetView>
  </sheetViews>
  <sheetFormatPr baseColWidth="10" defaultColWidth="8.83203125" defaultRowHeight="16"/>
  <cols>
    <col min="1" max="1" width="16" customWidth="1"/>
    <col min="3" max="3" width="28" customWidth="1"/>
    <col min="4" max="4" width="26" customWidth="1"/>
    <col min="5" max="5" width="14" customWidth="1"/>
    <col min="6" max="6" width="12" customWidth="1"/>
    <col min="7" max="7" width="10.1640625" customWidth="1"/>
  </cols>
  <sheetData>
    <row r="1" spans="1:6" ht="32" customHeight="1">
      <c r="A1" s="9" t="s">
        <v>0</v>
      </c>
      <c r="B1" s="9"/>
      <c r="C1" s="9"/>
      <c r="D1" s="9"/>
      <c r="E1" s="9"/>
      <c r="F1" s="9"/>
    </row>
    <row r="3" spans="1:6">
      <c r="A3" s="1" t="s">
        <v>1</v>
      </c>
      <c r="B3" s="1"/>
      <c r="C3" s="10" t="s">
        <v>2</v>
      </c>
      <c r="D3" s="10"/>
      <c r="E3" s="10"/>
      <c r="F3" s="10"/>
    </row>
    <row r="4" spans="1:6">
      <c r="A4" s="2" t="s">
        <v>3</v>
      </c>
    </row>
    <row r="5" spans="1:6">
      <c r="A5" s="3">
        <v>50.226791890560854</v>
      </c>
      <c r="C5" t="s">
        <v>4</v>
      </c>
      <c r="D5" s="3">
        <f>AVERAGE(A5:A85)</f>
        <v>52.000000000000014</v>
      </c>
    </row>
    <row r="6" spans="1:6">
      <c r="A6" s="3">
        <v>49.929976818027036</v>
      </c>
      <c r="C6" t="s">
        <v>5</v>
      </c>
      <c r="D6" s="4">
        <v>0.99</v>
      </c>
      <c r="E6">
        <f>_xlfn.CONFIDENCE.NORM(D10,D8,D9)</f>
        <v>1.2879146517744327</v>
      </c>
    </row>
    <row r="7" spans="1:6">
      <c r="A7" s="3">
        <v>50.56441257177115</v>
      </c>
      <c r="C7" t="s">
        <v>18</v>
      </c>
      <c r="D7" s="6">
        <f>D5-E6</f>
        <v>50.712085348225578</v>
      </c>
      <c r="E7" s="6">
        <f>D5+E6</f>
        <v>53.28791465177445</v>
      </c>
    </row>
    <row r="8" spans="1:6">
      <c r="A8" s="3">
        <v>58.942481756369347</v>
      </c>
      <c r="C8" t="s">
        <v>6</v>
      </c>
      <c r="D8">
        <f>_xlfn.STDEV.S(A5:A85)</f>
        <v>8.9999999999998792</v>
      </c>
    </row>
    <row r="9" spans="1:6">
      <c r="A9" s="3">
        <v>50.396784945549271</v>
      </c>
      <c r="C9" t="s">
        <v>7</v>
      </c>
      <c r="D9">
        <v>324</v>
      </c>
    </row>
    <row r="10" spans="1:6">
      <c r="A10" s="3">
        <v>36.286379359949052</v>
      </c>
      <c r="C10" t="s">
        <v>8</v>
      </c>
      <c r="D10" s="4">
        <v>0.01</v>
      </c>
    </row>
    <row r="11" spans="1:6">
      <c r="A11" s="3">
        <v>55.134435879789187</v>
      </c>
      <c r="C11" s="7" t="s">
        <v>19</v>
      </c>
      <c r="D11" s="8">
        <f>E7-D7</f>
        <v>2.575829303548872</v>
      </c>
    </row>
    <row r="12" spans="1:6">
      <c r="A12" s="3">
        <v>48.957182072262427</v>
      </c>
      <c r="C12" s="5"/>
      <c r="D12" s="3"/>
    </row>
    <row r="13" spans="1:6">
      <c r="A13" s="3">
        <v>49.476150766501469</v>
      </c>
    </row>
    <row r="14" spans="1:6">
      <c r="A14" s="3">
        <v>52.904881915646136</v>
      </c>
    </row>
    <row r="15" spans="1:6">
      <c r="A15" s="3">
        <v>54.104090382977908</v>
      </c>
      <c r="C15" s="10" t="s">
        <v>9</v>
      </c>
      <c r="D15" s="10"/>
      <c r="E15" s="10"/>
      <c r="F15" s="10"/>
    </row>
    <row r="16" spans="1:6">
      <c r="A16" s="3">
        <v>63.697318749681642</v>
      </c>
      <c r="C16" s="5" t="s">
        <v>10</v>
      </c>
      <c r="D16" t="s">
        <v>11</v>
      </c>
    </row>
    <row r="17" spans="1:4">
      <c r="A17" s="3">
        <v>58.475344998307918</v>
      </c>
      <c r="C17" s="5" t="s">
        <v>12</v>
      </c>
      <c r="D17" t="s">
        <v>13</v>
      </c>
    </row>
    <row r="18" spans="1:4">
      <c r="A18" s="3">
        <v>52.849485376484303</v>
      </c>
      <c r="C18" s="5" t="s">
        <v>14</v>
      </c>
      <c r="D18" t="s">
        <v>15</v>
      </c>
    </row>
    <row r="19" spans="1:4">
      <c r="A19" s="3">
        <v>44.10541817230002</v>
      </c>
      <c r="C19" s="5" t="s">
        <v>16</v>
      </c>
      <c r="D19" t="s">
        <v>17</v>
      </c>
    </row>
    <row r="20" spans="1:4">
      <c r="A20" s="3">
        <v>41.258740162316862</v>
      </c>
    </row>
    <row r="21" spans="1:4">
      <c r="A21" s="3">
        <v>54.248767012923615</v>
      </c>
    </row>
    <row r="22" spans="1:4">
      <c r="A22" s="3">
        <v>65.21699332041851</v>
      </c>
    </row>
    <row r="23" spans="1:4">
      <c r="A23" s="3">
        <v>52.140235427658659</v>
      </c>
    </row>
    <row r="24" spans="1:4">
      <c r="A24" s="3">
        <v>50.615842670958195</v>
      </c>
    </row>
    <row r="25" spans="1:4">
      <c r="A25" s="3">
        <v>57.189117715029539</v>
      </c>
    </row>
    <row r="26" spans="1:4">
      <c r="A26" s="3">
        <v>36.737661317417022</v>
      </c>
    </row>
    <row r="27" spans="1:4">
      <c r="A27" s="3">
        <v>48.494241867318117</v>
      </c>
    </row>
    <row r="28" spans="1:4">
      <c r="A28" s="3">
        <v>56.76250156112075</v>
      </c>
    </row>
    <row r="29" spans="1:4">
      <c r="A29" s="3">
        <v>60.708342916322337</v>
      </c>
    </row>
    <row r="30" spans="1:4">
      <c r="A30" s="3">
        <v>49.232308051399457</v>
      </c>
    </row>
    <row r="31" spans="1:4">
      <c r="A31" s="3">
        <v>55.590594470263071</v>
      </c>
    </row>
    <row r="32" spans="1:4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3">
    <mergeCell ref="A1:F1"/>
    <mergeCell ref="C3:F3"/>
    <mergeCell ref="C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W2D1 TRACCIA </vt:lpstr>
      <vt:lpstr>Conf. 90%</vt:lpstr>
      <vt:lpstr>Conf. 90% C324</vt:lpstr>
      <vt:lpstr>Conf. 95%</vt:lpstr>
      <vt:lpstr>Conf.  95% C324</vt:lpstr>
      <vt:lpstr>Conf.  99%</vt:lpstr>
      <vt:lpstr>Conf. 99% C324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2026-07-10T17:10:20Z</dcterms:created>
  <dcterms:modified xsi:type="dcterms:W3CDTF">2026-07-11T09:16:19Z</dcterms:modified>
</cp:coreProperties>
</file>