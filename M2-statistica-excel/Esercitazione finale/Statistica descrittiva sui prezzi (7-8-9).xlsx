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8_{E078707C-1F07-4B59-8072-AC283F55545B}" xr6:coauthVersionLast="47" xr6:coauthVersionMax="47" xr10:uidLastSave="{00000000-0000-0000-0000-000000000000}"/>
  <bookViews>
    <workbookView xWindow="38280" yWindow="-120" windowWidth="20730" windowHeight="11040" activeTab="2" xr2:uid="{00000000-000D-0000-FFFF-FFFF00000000}"/>
  </bookViews>
  <sheets>
    <sheet name="Es 7" sheetId="5" r:id="rId1"/>
    <sheet name="8" sheetId="6" r:id="rId2"/>
    <sheet name="9" sheetId="8" r:id="rId3"/>
  </sheets>
  <definedNames>
    <definedName name="DatiEsterni_1" localSheetId="1" hidden="1">'8'!$A$1:$B$235</definedName>
    <definedName name="DatiEsterni_1" localSheetId="2" hidden="1">'9'!$A$1:$B$235</definedName>
    <definedName name="DatiEsterni_1" localSheetId="0" hidden="1">'Es 7'!$A$1:$B$235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8" l="1"/>
  <c r="F23" i="8"/>
  <c r="F21" i="8"/>
  <c r="F20" i="8"/>
  <c r="F19" i="8"/>
  <c r="J15" i="8"/>
  <c r="J14" i="8"/>
  <c r="J13" i="8"/>
  <c r="J12" i="8"/>
  <c r="J11" i="8"/>
  <c r="F11" i="8"/>
  <c r="F10" i="8"/>
  <c r="I7" i="8"/>
  <c r="F7" i="8"/>
  <c r="I4" i="8"/>
  <c r="F4" i="8" a="1"/>
  <c r="F4" i="8" s="1"/>
  <c r="I2" i="8"/>
  <c r="F2" i="8"/>
  <c r="J14" i="6"/>
  <c r="J15" i="6"/>
  <c r="J12" i="6"/>
  <c r="J13" i="6"/>
  <c r="J11" i="6"/>
  <c r="F11" i="6"/>
  <c r="F10" i="6"/>
  <c r="I7" i="6"/>
  <c r="F7" i="6"/>
  <c r="I4" i="6"/>
  <c r="F4" i="6" a="1"/>
  <c r="F4" i="6" s="1"/>
  <c r="I2" i="6"/>
  <c r="F2" i="6"/>
  <c r="I7" i="5"/>
  <c r="F7" i="5"/>
  <c r="I4" i="5"/>
  <c r="F4" i="5" a="1"/>
  <c r="F4" i="5" s="1"/>
  <c r="I2" i="5"/>
  <c r="F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EE095-4098-4040-A167-1C3A1D97F469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2" xr16:uid="{D64B5A86-F1F6-483C-8AE1-9977C0DCDEF9}" keepAlive="1" name="Query - prezzi (2)" description="Connessione alla query 'prezzi (2)' nella cartella di lavoro." type="5" refreshedVersion="8" background="1" saveData="1">
    <dbPr connection="Provider=Microsoft.Mashup.OleDb.1;Data Source=$Workbook$;Location=&quot;prezzi (2)&quot;;Extended Properties=&quot;&quot;" command="SELECT * FROM [prezzi (2)]"/>
  </connection>
  <connection id="3" xr16:uid="{9FCDAC86-BB64-4047-8689-3E98C4F8759B}" keepAlive="1" name="Query - prezzi (3)" description="Connessione alla query 'prezzi (3)' nella cartella di lavoro." type="5" refreshedVersion="8" background="1" saveData="1">
    <dbPr connection="Provider=Microsoft.Mashup.OleDb.1;Data Source=$Workbook$;Location=&quot;prezzi (3)&quot;;Extended Properties=&quot;&quot;" command="SELECT * FROM [prezzi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<sst xmlns="http://schemas.openxmlformats.org/spreadsheetml/2006/main" count="750" uniqueCount="257">
  <si>
    <t>Città</t>
  </si>
  <si>
    <t>Prezzo Medio</t>
  </si>
  <si>
    <t>Urbino</t>
  </si>
  <si>
    <t>Acqualagna</t>
  </si>
  <si>
    <t>Apecchio</t>
  </si>
  <si>
    <t>Auditore</t>
  </si>
  <si>
    <t>Barchi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</si>
  <si>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</si>
  <si>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</si>
  <si>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</si>
  <si>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</si>
  <si>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</si>
  <si>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</si>
  <si>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</si>
  <si>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</si>
  <si>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</si>
  <si>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</si>
  <si>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</si>
  <si>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</si>
  <si>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</si>
  <si>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</si>
  <si>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</si>
  <si>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</si>
  <si>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</si>
  <si>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</si>
  <si>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</si>
  <si>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</si>
  <si>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</si>
  <si>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</si>
  <si>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</si>
  <si>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</si>
  <si>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Monteciccardo</t>
  </si>
  <si>
    <t>Montecopiolo</t>
  </si>
  <si>
    <t>Montefelcino</t>
  </si>
  <si>
    <t>Monte Grimano Terme</t>
  </si>
  <si>
    <t>Montelabbate</t>
  </si>
  <si>
    <t>Montemaggiore Al Metauro</t>
  </si>
  <si>
    <t>Monte Porzio</t>
  </si>
  <si>
    <t>Orciano Di Pesaro</t>
  </si>
  <si>
    <t>Peglio</t>
  </si>
  <si>
    <t>Pergola</t>
  </si>
  <si>
    <t>Pesaro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</si>
  <si>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</si>
  <si>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</si>
  <si>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</si>
  <si>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</si>
  <si>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</si>
  <si>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</si>
  <si>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</si>
  <si>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</si>
  <si>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</si>
  <si>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</si>
  <si>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</si>
  <si>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</si>
  <si>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</si>
  <si>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</si>
  <si>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Serrungarina</t>
  </si>
  <si>
    <t>Tavoleto</t>
  </si>
  <si>
    <t>Tavullia</t>
  </si>
  <si>
    <t>Urbania</t>
  </si>
  <si>
    <t>Vallefoglia</t>
  </si>
  <si>
    <t>Agugliano</t>
  </si>
  <si>
    <t>Ancona</t>
  </si>
  <si>
    <t>Arcevia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</si>
  <si>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</si>
  <si>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</si>
  <si>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</si>
  <si>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</si>
  <si>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</si>
  <si>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</si>
  <si>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</si>
  <si>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</si>
  <si>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</si>
  <si>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</si>
  <si>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</si>
  <si>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</si>
  <si>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</si>
  <si>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</si>
  <si>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</si>
  <si>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</si>
  <si>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</si>
  <si>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</si>
  <si>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</si>
  <si>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</si>
  <si>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</si>
  <si>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</si>
  <si>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</si>
  <si>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</si>
  <si>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</si>
  <si>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</si>
  <si>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</si>
  <si>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</si>
  <si>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</si>
  <si>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</si>
  <si>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</si>
  <si>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</si>
  <si>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</si>
  <si>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</si>
  <si>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</si>
  <si>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</si>
  <si>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</si>
  <si>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</si>
  <si>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</si>
  <si>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</si>
  <si>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</si>
  <si>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</si>
  <si>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</si>
  <si>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</si>
  <si>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</si>
  <si>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</si>
  <si>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</si>
  <si>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</si>
  <si>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</si>
  <si>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</si>
  <si>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</si>
  <si>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</si>
  <si>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</si>
  <si>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</si>
  <si>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</si>
  <si>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</si>
  <si>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</si>
  <si>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</si>
  <si>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</si>
  <si>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Fiordimonte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</si>
  <si>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</si>
  <si>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</si>
  <si>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</si>
  <si>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</si>
  <si>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</si>
  <si>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</si>
  <si>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</si>
  <si>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</si>
  <si>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</si>
  <si>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</si>
  <si>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</si>
  <si>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</si>
  <si>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</si>
  <si>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</si>
  <si>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</si>
  <si>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</si>
  <si>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</si>
  <si>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</si>
  <si>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Pievebovigliana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</si>
  <si>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</si>
  <si>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</si>
  <si>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</si>
  <si>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</si>
  <si>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</si>
  <si>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</si>
  <si>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</si>
  <si>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</si>
  <si>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</si>
  <si>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</si>
  <si>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</si>
  <si>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</si>
  <si>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</si>
  <si>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</si>
  <si>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</si>
  <si>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</si>
  <si>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</si>
  <si>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</si>
  <si>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</si>
  <si>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</si>
  <si>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</si>
  <si>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</si>
  <si>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</si>
  <si>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</si>
  <si>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</si>
  <si>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</si>
  <si>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</si>
  <si>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</si>
  <si>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</si>
  <si>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</si>
  <si>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</si>
  <si>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</si>
  <si>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</si>
  <si>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</si>
  <si>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</si>
  <si>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</si>
  <si>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</si>
  <si>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</si>
  <si>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</si>
  <si>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</si>
  <si>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</si>
  <si>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</si>
  <si>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</si>
  <si>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</si>
  <si>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</si>
  <si>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</si>
  <si>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</si>
  <si>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</si>
  <si>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</si>
  <si>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</si>
  <si>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</si>
  <si>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</si>
  <si>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</si>
  <si>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</si>
  <si>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</si>
  <si>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</si>
  <si>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</si>
  <si>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</si>
  <si>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</si>
  <si>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</si>
  <si>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</si>
  <si>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</si>
  <si>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</si>
  <si>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</si>
  <si>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</si>
  <si>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</si>
  <si>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</si>
  <si>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</si>
  <si>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</si>
  <si>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</si>
  <si>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</si>
  <si>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</si>
  <si>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</si>
  <si>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</si>
  <si>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</si>
  <si>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</si>
  <si>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</si>
  <si>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</si>
  <si>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</si>
  <si>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</si>
  <si>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</si>
  <si>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</si>
  <si>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</si>
  <si>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</si>
  <si>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</si>
  <si>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</si>
  <si>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</si>
  <si>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</si>
  <si>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</si>
  <si>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</si>
  <si>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</si>
  <si>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</si>
  <si>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</si>
  <si>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Media</t>
  </si>
  <si>
    <t>Mediana</t>
  </si>
  <si>
    <t>Moda</t>
  </si>
  <si>
    <t>Varianza</t>
  </si>
  <si>
    <t>Dev. Stnd</t>
  </si>
  <si>
    <t>IQR</t>
  </si>
  <si>
    <t>Media e mediana coincidono (73,5), La distribuzione è simmetrica.</t>
  </si>
  <si>
    <t>Prezzo Min.</t>
  </si>
  <si>
    <t>Prezzo Max</t>
  </si>
  <si>
    <t>Tabella di frequenza</t>
  </si>
  <si>
    <t>Val. Max</t>
  </si>
  <si>
    <t>Val. Min.</t>
  </si>
  <si>
    <t>Frequenza</t>
  </si>
  <si>
    <t>Classe modale</t>
  </si>
  <si>
    <t>46-65</t>
  </si>
  <si>
    <t>Q1</t>
  </si>
  <si>
    <t>Q3</t>
  </si>
  <si>
    <t>CALCOLO OUTLIER</t>
  </si>
  <si>
    <t>LIM INF</t>
  </si>
  <si>
    <t>LIM SUP</t>
  </si>
  <si>
    <t>Applicando i limiti di Tukey nessuna città presenta un prezzo anomalo, dato che i valori osservati vanno da 30 a 120 euro. La deviazione standard resta quindi invariata a 27,46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</si>
</sst>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3" borderId="1" xfId="0" applyFill="1" applyBorder="1"/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e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'8'!$I$11:$I$15</c:f>
              <c:numCache>
                <c:formatCode>General</c:formatCode>
                <c:ptCount val="5"/>
                <c:pt idx="0">
                  <c:v>45</c:v>
                </c:pt>
                <c:pt idx="1">
                  <c:v>65</c:v>
                </c:pt>
                <c:pt idx="2">
                  <c:v>85</c:v>
                </c:pt>
                <c:pt idx="3">
                  <c:v>105</c:v>
                </c:pt>
                <c:pt idx="4">
                  <c:v>125</c:v>
                </c:pt>
              </c:numCache>
            </c:numRef>
          </c:cat>
          <c:val>
            <c:numRef>
              <c:f>'8'!$J$11:$J$15</c:f>
              <c:numCache>
                <c:formatCode>General</c:formatCode>
                <c:ptCount val="5"/>
                <c:pt idx="0">
                  <c:v>45</c:v>
                </c:pt>
                <c:pt idx="1">
                  <c:v>56</c:v>
                </c:pt>
                <c:pt idx="2">
                  <c:v>50</c:v>
                </c:pt>
                <c:pt idx="3">
                  <c:v>39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5-48A0-8A94-3CDDEFF5B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426128"/>
        <c:axId val="1755781648"/>
      </c:barChart>
      <c:catAx>
        <c:axId val="18024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5781648"/>
        <c:crosses val="autoZero"/>
        <c:auto val="1"/>
        <c:lblAlgn val="ctr"/>
        <c:lblOffset val="100"/>
        <c:noMultiLvlLbl val="0"/>
      </c:catAx>
      <c:valAx>
        <c:axId val="175578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0242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'9'!$I$11:$I$15</c:f>
              <c:numCache>
                <c:formatCode>General</c:formatCode>
                <c:ptCount val="5"/>
                <c:pt idx="0">
                  <c:v>45</c:v>
                </c:pt>
                <c:pt idx="1">
                  <c:v>65</c:v>
                </c:pt>
                <c:pt idx="2">
                  <c:v>85</c:v>
                </c:pt>
                <c:pt idx="3">
                  <c:v>105</c:v>
                </c:pt>
                <c:pt idx="4">
                  <c:v>125</c:v>
                </c:pt>
              </c:numCache>
            </c:numRef>
          </c:cat>
          <c:val>
            <c:numRef>
              <c:f>'9'!$J$11:$J$15</c:f>
              <c:numCache>
                <c:formatCode>General</c:formatCode>
                <c:ptCount val="5"/>
                <c:pt idx="0">
                  <c:v>45</c:v>
                </c:pt>
                <c:pt idx="1">
                  <c:v>56</c:v>
                </c:pt>
                <c:pt idx="2">
                  <c:v>50</c:v>
                </c:pt>
                <c:pt idx="3">
                  <c:v>39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8-4FE1-BD5D-8172D4ED1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426128"/>
        <c:axId val="1755781648"/>
      </c:barChart>
      <c:catAx>
        <c:axId val="18024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5781648"/>
        <c:crosses val="autoZero"/>
        <c:auto val="1"/>
        <c:lblAlgn val="ctr"/>
        <c:lblOffset val="100"/>
        <c:noMultiLvlLbl val="0"/>
      </c:catAx>
      <c:valAx>
        <c:axId val="175578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0242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566736</xdr:colOff>
      <xdr:row>10</xdr:row>
      <xdr:rowOff>18369</xdr:rowOff>
    </xdr:from>
    <xdr:to>
      <xdr:col>17</xdr:col>
      <xdr:colOff>549047</xdr:colOff>
      <xdr:row>24</xdr:row>
      <xdr:rowOff>94569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2118F5AE-6B20-BF52-2C67-0E86B5E7A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5668</xdr:colOff>
      <xdr:row>0</xdr:row>
      <xdr:rowOff>168047</xdr:rowOff>
    </xdr:from>
    <xdr:to>
      <xdr:col>21</xdr:col>
      <xdr:colOff>341765</xdr:colOff>
      <xdr:row>15</xdr:row>
      <xdr:rowOff>53747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CC41750-4C65-4D07-B423-24B3C2A79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F6EA91AA-2953-4873-8245-DB1BD08EB66E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FDD89DC5-9B50-4F35-A53D-5CFFD4C45F88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7E349676-7471-45EC-8EB3-72F2A923BB80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418941-3FEA-4E0D-B160-7A1AF01F5E06}" name="prezzi" displayName="prezzi" ref="A1:B235" tableType="queryTable" totalsRowShown="0">
  <autoFilter ref="A1:B235" xr:uid="{41418941-3FEA-4E0D-B160-7A1AF01F5E06}"/>
  <tableColumns count="2">
    <tableColumn id="1" xr3:uid="{074DBA29-C09F-43F7-9478-7EFE41B4416A}" uniqueName="1" name="Città" queryTableFieldId="1" dataDxfId="1"/>
    <tableColumn id="2" xr3:uid="{C111E861-DCCA-47BA-AE13-6D2305BCDE2A}" uniqueName="2" name="Prezzo Medio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8184C5-E5D0-42DB-957C-58677EFE23DC}" name="prezzi3" displayName="prezzi3" ref="A1:B235" tableType="queryTable" totalsRowShown="0">
  <autoFilter ref="A1:B235" xr:uid="{41418941-3FEA-4E0D-B160-7A1AF01F5E06}"/>
  <sortState xmlns:xlrd2="http://schemas.microsoft.com/office/spreadsheetml/2017/richdata2" ref="A2:B235">
    <sortCondition ref="B1:B235"/>
  </sortState>
  <tableColumns count="2">
    <tableColumn id="1" xr3:uid="{515E31BC-348A-4334-8672-C7A610BC1C86}" uniqueName="1" name="Città" queryTableFieldId="1" dataDxfId="0"/>
    <tableColumn id="2" xr3:uid="{1AB6D7C7-5C51-4122-947B-F35C8A7C50BC}" uniqueName="2" name="Prezzo Medio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30BD27-E9F8-440E-A805-8280B20EA0F4}" name="prezzi34" displayName="prezzi34" ref="A1:B235" tableType="queryTable" totalsRowShown="0">
  <autoFilter ref="A1:B235" xr:uid="{41418941-3FEA-4E0D-B160-7A1AF01F5E06}"/>
  <sortState xmlns:xlrd2="http://schemas.microsoft.com/office/spreadsheetml/2017/richdata2" ref="A2:B235">
    <sortCondition ref="B1:B235"/>
  </sortState>
  <tableColumns count="2">
    <tableColumn id="1" xr3:uid="{C61E62AE-A258-4FEA-9148-C5C57C36E3AB}" uniqueName="1" name="Città" queryTableFieldId="1" dataDxfId="2"/>
    <tableColumn id="2" xr3:uid="{B274116E-BD54-4592-9C7D-B0D9EE350C29}" uniqueName="2" name="Prezzo Medio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4F4E-CD7B-4F26-A724-98AA552AACF1}">
  <dimension ref="A1:P235"/>
  <sheetViews>
    <sheetView workbookViewId="0">
      <selection activeCell="K2" sqref="K2:P2"/>
    </sheetView>
  </sheetViews>
  <sheetFormatPr defaultRowHeight="14.5" x14ac:dyDescent="0.35"/>
  <cols>
    <col min="1" max="1" width="26" bestFit="1" customWidth="1"/>
    <col min="2" max="2" width="15.54296875" bestFit="1" customWidth="1"/>
  </cols>
  <sheetData>
    <row r="1" spans="1:16" ht="15" thickBot="1" x14ac:dyDescent="0.4">
      <c r="A1" t="s">
        <v>0</v>
      </c>
      <c r="B1" t="s">
        <v>1</v>
      </c>
    </row>
    <row r="2" spans="1:16" ht="15" customHeight="1" thickBot="1" x14ac:dyDescent="0.4">
      <c r="A2" t="s">
        <v>2</v>
      </c>
      <c r="B2">
        <v>31</v>
      </c>
      <c r="E2" s="2" t="s">
        <v>236</v>
      </c>
      <c r="F2" s="1">
        <f>AVERAGE(prezzi[Prezzo Medio])</f>
        <v>73.5</v>
      </c>
      <c r="H2" s="2" t="s">
        <v>237</v>
      </c>
      <c r="I2" s="1">
        <f>MEDIAN(prezzi[Prezzo Medio])</f>
        <v>73.5</v>
      </c>
      <c r="K2" s="18" t="s">
        <v>242</v>
      </c>
      <c r="L2" s="19"/>
      <c r="M2" s="19"/>
      <c r="N2" s="19"/>
      <c r="O2" s="19"/>
      <c r="P2" s="20"/>
    </row>
    <row r="3" spans="1:16" x14ac:dyDescent="0.35">
      <c r="A3" t="s">
        <v>3</v>
      </c>
      <c r="B3">
        <v>75</v>
      </c>
      <c r="K3" s="3"/>
      <c r="L3" s="3"/>
      <c r="M3" s="3"/>
      <c r="N3" s="3"/>
      <c r="O3" s="3"/>
      <c r="P3" s="3"/>
    </row>
    <row r="4" spans="1:16" x14ac:dyDescent="0.35">
      <c r="A4" t="s">
        <v>4</v>
      </c>
      <c r="B4">
        <v>77</v>
      </c>
      <c r="E4" s="2" t="s">
        <v>238</v>
      </c>
      <c r="F4" s="1" cm="1">
        <f t="array" ref="F4:F5">_xlfn.MODE.MULT(prezzi[Prezzo Medio])</f>
        <v>75</v>
      </c>
      <c r="H4" s="2" t="s">
        <v>239</v>
      </c>
      <c r="I4" s="1">
        <f>_xlfn.VAR.P(prezzi[Prezzo Medio])</f>
        <v>754.06196581196582</v>
      </c>
      <c r="K4" s="3"/>
      <c r="L4" s="3"/>
      <c r="M4" s="3"/>
      <c r="N4" s="3"/>
      <c r="O4" s="3"/>
      <c r="P4" s="3"/>
    </row>
    <row r="5" spans="1:16" x14ac:dyDescent="0.35">
      <c r="A5" t="s">
        <v>5</v>
      </c>
      <c r="B5">
        <v>93</v>
      </c>
      <c r="F5" s="1">
        <v>78</v>
      </c>
      <c r="K5" s="3"/>
      <c r="L5" s="3"/>
      <c r="M5" s="3"/>
      <c r="N5" s="3"/>
      <c r="O5" s="3"/>
      <c r="P5" s="3"/>
    </row>
    <row r="6" spans="1:16" x14ac:dyDescent="0.35">
      <c r="A6" t="s">
        <v>6</v>
      </c>
      <c r="B6">
        <v>83</v>
      </c>
      <c r="K6" s="3"/>
      <c r="L6" s="3"/>
      <c r="M6" s="3"/>
      <c r="N6" s="3"/>
      <c r="O6" s="3"/>
      <c r="P6" s="3"/>
    </row>
    <row r="7" spans="1:16" x14ac:dyDescent="0.35">
      <c r="A7" t="s">
        <v>7</v>
      </c>
      <c r="B7">
        <v>49</v>
      </c>
      <c r="E7" s="2" t="s">
        <v>240</v>
      </c>
      <c r="F7" s="1">
        <f>_xlfn.STDEV.P(prezzi[Prezzo Medio])</f>
        <v>27.460188743196319</v>
      </c>
      <c r="H7" s="2" t="s">
        <v>241</v>
      </c>
      <c r="I7" s="1">
        <f>_xlfn.QUARTILE.INC(prezzi[Prezzo Medio],3)-_xlfn.QUARTILE.INC(prezzi[Prezzo Medio],1)</f>
        <v>46.75</v>
      </c>
      <c r="K7" s="3"/>
      <c r="L7" s="3"/>
      <c r="M7" s="3"/>
      <c r="N7" s="3"/>
      <c r="O7" s="3"/>
      <c r="P7" s="3"/>
    </row>
    <row r="8" spans="1:16" x14ac:dyDescent="0.35">
      <c r="A8" t="s">
        <v>8</v>
      </c>
      <c r="B8">
        <v>58</v>
      </c>
    </row>
    <row r="9" spans="1:16" x14ac:dyDescent="0.35">
      <c r="A9" t="s">
        <v>9</v>
      </c>
      <c r="B9">
        <v>64</v>
      </c>
    </row>
    <row r="10" spans="1:16" x14ac:dyDescent="0.35">
      <c r="A10" t="s">
        <v>10</v>
      </c>
      <c r="B10">
        <v>106</v>
      </c>
    </row>
    <row r="11" spans="1:16" x14ac:dyDescent="0.35">
      <c r="A11" t="s">
        <v>11</v>
      </c>
      <c r="B11">
        <v>118</v>
      </c>
    </row>
    <row r="12" spans="1:16" x14ac:dyDescent="0.35">
      <c r="A12" t="s">
        <v>12</v>
      </c>
      <c r="B12">
        <v>36</v>
      </c>
    </row>
    <row r="13" spans="1:16" x14ac:dyDescent="0.35">
      <c r="A13" t="s">
        <v>13</v>
      </c>
      <c r="B13">
        <v>120</v>
      </c>
    </row>
    <row r="14" spans="1:16" x14ac:dyDescent="0.35">
      <c r="A14" t="s">
        <v>14</v>
      </c>
      <c r="B14">
        <v>88</v>
      </c>
    </row>
    <row r="15" spans="1:16" x14ac:dyDescent="0.35">
      <c r="A15" t="s">
        <v>15</v>
      </c>
      <c r="B15">
        <v>66</v>
      </c>
    </row>
    <row r="16" spans="1:16" x14ac:dyDescent="0.35">
      <c r="A16" t="s">
        <v>16</v>
      </c>
      <c r="B16">
        <v>119</v>
      </c>
    </row>
    <row r="17" spans="1:2" x14ac:dyDescent="0.35">
      <c r="A17" t="s">
        <v>17</v>
      </c>
      <c r="B17">
        <v>52</v>
      </c>
    </row>
    <row r="18" spans="1:2" x14ac:dyDescent="0.35">
      <c r="A18" t="s">
        <v>18</v>
      </c>
      <c r="B18">
        <v>75</v>
      </c>
    </row>
    <row r="19" spans="1:2" x14ac:dyDescent="0.35">
      <c r="A19" t="s">
        <v>19</v>
      </c>
      <c r="B19">
        <v>112</v>
      </c>
    </row>
    <row r="20" spans="1:2" x14ac:dyDescent="0.35">
      <c r="A20" t="s">
        <v>20</v>
      </c>
      <c r="B20">
        <v>87</v>
      </c>
    </row>
    <row r="21" spans="1:2" x14ac:dyDescent="0.35">
      <c r="A21" t="s">
        <v>21</v>
      </c>
      <c r="B21">
        <v>46</v>
      </c>
    </row>
    <row r="22" spans="1:2" x14ac:dyDescent="0.35">
      <c r="A22" t="s">
        <v>22</v>
      </c>
      <c r="B22">
        <v>36</v>
      </c>
    </row>
    <row r="23" spans="1:2" x14ac:dyDescent="0.35">
      <c r="A23" t="s">
        <v>23</v>
      </c>
      <c r="B23">
        <v>32</v>
      </c>
    </row>
    <row r="24" spans="1:2" x14ac:dyDescent="0.35">
      <c r="A24" t="s">
        <v>24</v>
      </c>
      <c r="B24">
        <v>85</v>
      </c>
    </row>
    <row r="25" spans="1:2" x14ac:dyDescent="0.35">
      <c r="A25" t="s">
        <v>25</v>
      </c>
      <c r="B25">
        <v>120</v>
      </c>
    </row>
    <row r="26" spans="1:2" x14ac:dyDescent="0.35">
      <c r="A26" t="s">
        <v>26</v>
      </c>
      <c r="B26">
        <v>39</v>
      </c>
    </row>
    <row r="27" spans="1:2" x14ac:dyDescent="0.35">
      <c r="A27" t="s">
        <v>27</v>
      </c>
      <c r="B27">
        <v>116</v>
      </c>
    </row>
    <row r="28" spans="1:2" x14ac:dyDescent="0.35">
      <c r="A28" t="s">
        <v>28</v>
      </c>
      <c r="B28">
        <v>64</v>
      </c>
    </row>
    <row r="29" spans="1:2" x14ac:dyDescent="0.35">
      <c r="A29" t="s">
        <v>29</v>
      </c>
      <c r="B29">
        <v>46</v>
      </c>
    </row>
    <row r="30" spans="1:2" x14ac:dyDescent="0.35">
      <c r="A30" t="s">
        <v>30</v>
      </c>
      <c r="B30">
        <v>78</v>
      </c>
    </row>
    <row r="31" spans="1:2" x14ac:dyDescent="0.35">
      <c r="A31" t="s">
        <v>31</v>
      </c>
      <c r="B31">
        <v>48</v>
      </c>
    </row>
    <row r="32" spans="1:2" x14ac:dyDescent="0.35">
      <c r="A32" t="s">
        <v>32</v>
      </c>
      <c r="B32">
        <v>51</v>
      </c>
    </row>
    <row r="33" spans="1:2" x14ac:dyDescent="0.35">
      <c r="A33" t="s">
        <v>33</v>
      </c>
      <c r="B33">
        <v>61</v>
      </c>
    </row>
    <row r="34" spans="1:2" x14ac:dyDescent="0.35">
      <c r="A34" t="s">
        <v>34</v>
      </c>
      <c r="B34">
        <v>107</v>
      </c>
    </row>
    <row r="35" spans="1:2" x14ac:dyDescent="0.35">
      <c r="A35" t="s">
        <v>35</v>
      </c>
      <c r="B35">
        <v>49</v>
      </c>
    </row>
    <row r="36" spans="1:2" x14ac:dyDescent="0.35">
      <c r="A36" t="s">
        <v>36</v>
      </c>
      <c r="B36">
        <v>120</v>
      </c>
    </row>
    <row r="37" spans="1:2" x14ac:dyDescent="0.35">
      <c r="A37" t="s">
        <v>37</v>
      </c>
      <c r="B37">
        <v>119</v>
      </c>
    </row>
    <row r="38" spans="1:2" x14ac:dyDescent="0.35">
      <c r="A38" t="s">
        <v>38</v>
      </c>
      <c r="B38">
        <v>85</v>
      </c>
    </row>
    <row r="39" spans="1:2" x14ac:dyDescent="0.35">
      <c r="A39" t="s">
        <v>39</v>
      </c>
      <c r="B39">
        <v>109</v>
      </c>
    </row>
    <row r="40" spans="1:2" x14ac:dyDescent="0.35">
      <c r="A40" t="s">
        <v>40</v>
      </c>
      <c r="B40">
        <v>35</v>
      </c>
    </row>
    <row r="41" spans="1:2" x14ac:dyDescent="0.35">
      <c r="A41" t="s">
        <v>41</v>
      </c>
      <c r="B41">
        <v>86</v>
      </c>
    </row>
    <row r="42" spans="1:2" x14ac:dyDescent="0.35">
      <c r="A42" t="s">
        <v>42</v>
      </c>
      <c r="B42">
        <v>78</v>
      </c>
    </row>
    <row r="43" spans="1:2" x14ac:dyDescent="0.35">
      <c r="A43" t="s">
        <v>43</v>
      </c>
      <c r="B43">
        <v>39</v>
      </c>
    </row>
    <row r="44" spans="1:2" x14ac:dyDescent="0.35">
      <c r="A44" t="s">
        <v>44</v>
      </c>
      <c r="B44">
        <v>58</v>
      </c>
    </row>
    <row r="45" spans="1:2" x14ac:dyDescent="0.35">
      <c r="A45" t="s">
        <v>45</v>
      </c>
      <c r="B45">
        <v>119</v>
      </c>
    </row>
    <row r="46" spans="1:2" x14ac:dyDescent="0.35">
      <c r="A46" t="s">
        <v>46</v>
      </c>
      <c r="B46">
        <v>117</v>
      </c>
    </row>
    <row r="47" spans="1:2" x14ac:dyDescent="0.35">
      <c r="A47" t="s">
        <v>47</v>
      </c>
      <c r="B47">
        <v>56</v>
      </c>
    </row>
    <row r="48" spans="1:2" x14ac:dyDescent="0.35">
      <c r="A48" t="s">
        <v>48</v>
      </c>
      <c r="B48">
        <v>78</v>
      </c>
    </row>
    <row r="49" spans="1:2" x14ac:dyDescent="0.35">
      <c r="A49" t="s">
        <v>49</v>
      </c>
      <c r="B49">
        <v>71</v>
      </c>
    </row>
    <row r="50" spans="1:2" x14ac:dyDescent="0.35">
      <c r="A50" t="s">
        <v>50</v>
      </c>
      <c r="B50">
        <v>95</v>
      </c>
    </row>
    <row r="51" spans="1:2" x14ac:dyDescent="0.35">
      <c r="A51" t="s">
        <v>51</v>
      </c>
      <c r="B51">
        <v>33</v>
      </c>
    </row>
    <row r="52" spans="1:2" x14ac:dyDescent="0.35">
      <c r="A52" t="s">
        <v>52</v>
      </c>
      <c r="B52">
        <v>56</v>
      </c>
    </row>
    <row r="53" spans="1:2" x14ac:dyDescent="0.35">
      <c r="A53" t="s">
        <v>53</v>
      </c>
      <c r="B53">
        <v>38</v>
      </c>
    </row>
    <row r="54" spans="1:2" x14ac:dyDescent="0.35">
      <c r="A54" t="s">
        <v>54</v>
      </c>
      <c r="B54">
        <v>90</v>
      </c>
    </row>
    <row r="55" spans="1:2" x14ac:dyDescent="0.35">
      <c r="A55" t="s">
        <v>55</v>
      </c>
      <c r="B55">
        <v>66</v>
      </c>
    </row>
    <row r="56" spans="1:2" x14ac:dyDescent="0.35">
      <c r="A56" t="s">
        <v>56</v>
      </c>
      <c r="B56">
        <v>34</v>
      </c>
    </row>
    <row r="57" spans="1:2" x14ac:dyDescent="0.35">
      <c r="A57" t="s">
        <v>57</v>
      </c>
      <c r="B57">
        <v>103</v>
      </c>
    </row>
    <row r="58" spans="1:2" x14ac:dyDescent="0.35">
      <c r="A58" t="s">
        <v>58</v>
      </c>
      <c r="B58">
        <v>120</v>
      </c>
    </row>
    <row r="59" spans="1:2" x14ac:dyDescent="0.35">
      <c r="A59" t="s">
        <v>59</v>
      </c>
      <c r="B59">
        <v>72</v>
      </c>
    </row>
    <row r="60" spans="1:2" x14ac:dyDescent="0.35">
      <c r="A60" t="s">
        <v>60</v>
      </c>
      <c r="B60">
        <v>39</v>
      </c>
    </row>
    <row r="61" spans="1:2" x14ac:dyDescent="0.35">
      <c r="A61" t="s">
        <v>61</v>
      </c>
      <c r="B61">
        <v>81</v>
      </c>
    </row>
    <row r="62" spans="1:2" x14ac:dyDescent="0.35">
      <c r="A62" t="s">
        <v>62</v>
      </c>
      <c r="B62">
        <v>34</v>
      </c>
    </row>
    <row r="63" spans="1:2" x14ac:dyDescent="0.35">
      <c r="A63" t="s">
        <v>63</v>
      </c>
      <c r="B63">
        <v>49</v>
      </c>
    </row>
    <row r="64" spans="1:2" x14ac:dyDescent="0.35">
      <c r="A64" t="s">
        <v>64</v>
      </c>
      <c r="B64">
        <v>52</v>
      </c>
    </row>
    <row r="65" spans="1:2" x14ac:dyDescent="0.35">
      <c r="A65" t="s">
        <v>65</v>
      </c>
      <c r="B65">
        <v>43</v>
      </c>
    </row>
    <row r="66" spans="1:2" x14ac:dyDescent="0.35">
      <c r="A66" t="s">
        <v>66</v>
      </c>
      <c r="B66">
        <v>55</v>
      </c>
    </row>
    <row r="67" spans="1:2" x14ac:dyDescent="0.35">
      <c r="A67" t="s">
        <v>67</v>
      </c>
      <c r="B67">
        <v>108</v>
      </c>
    </row>
    <row r="68" spans="1:2" x14ac:dyDescent="0.35">
      <c r="A68" t="s">
        <v>68</v>
      </c>
      <c r="B68">
        <v>37</v>
      </c>
    </row>
    <row r="69" spans="1:2" x14ac:dyDescent="0.35">
      <c r="A69" t="s">
        <v>69</v>
      </c>
      <c r="B69">
        <v>65</v>
      </c>
    </row>
    <row r="70" spans="1:2" x14ac:dyDescent="0.35">
      <c r="A70" t="s">
        <v>70</v>
      </c>
      <c r="B70">
        <v>78</v>
      </c>
    </row>
    <row r="71" spans="1:2" x14ac:dyDescent="0.35">
      <c r="A71" t="s">
        <v>71</v>
      </c>
      <c r="B71">
        <v>115</v>
      </c>
    </row>
    <row r="72" spans="1:2" x14ac:dyDescent="0.35">
      <c r="A72" t="s">
        <v>72</v>
      </c>
      <c r="B72">
        <v>52</v>
      </c>
    </row>
    <row r="73" spans="1:2" x14ac:dyDescent="0.35">
      <c r="A73" t="s">
        <v>73</v>
      </c>
      <c r="B73">
        <v>75</v>
      </c>
    </row>
    <row r="74" spans="1:2" x14ac:dyDescent="0.35">
      <c r="A74" t="s">
        <v>74</v>
      </c>
      <c r="B74">
        <v>39</v>
      </c>
    </row>
    <row r="75" spans="1:2" x14ac:dyDescent="0.35">
      <c r="A75" t="s">
        <v>75</v>
      </c>
      <c r="B75">
        <v>40</v>
      </c>
    </row>
    <row r="76" spans="1:2" x14ac:dyDescent="0.35">
      <c r="A76" t="s">
        <v>76</v>
      </c>
      <c r="B76">
        <v>34</v>
      </c>
    </row>
    <row r="77" spans="1:2" x14ac:dyDescent="0.35">
      <c r="A77" t="s">
        <v>77</v>
      </c>
      <c r="B77">
        <v>60</v>
      </c>
    </row>
    <row r="78" spans="1:2" x14ac:dyDescent="0.35">
      <c r="A78" t="s">
        <v>78</v>
      </c>
      <c r="B78">
        <v>93</v>
      </c>
    </row>
    <row r="79" spans="1:2" x14ac:dyDescent="0.35">
      <c r="A79" t="s">
        <v>79</v>
      </c>
      <c r="B79">
        <v>120</v>
      </c>
    </row>
    <row r="80" spans="1:2" x14ac:dyDescent="0.35">
      <c r="A80" t="s">
        <v>80</v>
      </c>
      <c r="B80">
        <v>81</v>
      </c>
    </row>
    <row r="81" spans="1:2" x14ac:dyDescent="0.35">
      <c r="A81" t="s">
        <v>81</v>
      </c>
      <c r="B81">
        <v>33</v>
      </c>
    </row>
    <row r="82" spans="1:2" x14ac:dyDescent="0.35">
      <c r="A82" t="s">
        <v>82</v>
      </c>
      <c r="B82">
        <v>73</v>
      </c>
    </row>
    <row r="83" spans="1:2" x14ac:dyDescent="0.35">
      <c r="A83" t="s">
        <v>83</v>
      </c>
      <c r="B83">
        <v>41</v>
      </c>
    </row>
    <row r="84" spans="1:2" x14ac:dyDescent="0.35">
      <c r="A84" t="s">
        <v>84</v>
      </c>
      <c r="B84">
        <v>58</v>
      </c>
    </row>
    <row r="85" spans="1:2" x14ac:dyDescent="0.35">
      <c r="A85" t="s">
        <v>85</v>
      </c>
      <c r="B85">
        <v>37</v>
      </c>
    </row>
    <row r="86" spans="1:2" x14ac:dyDescent="0.35">
      <c r="A86" t="s">
        <v>86</v>
      </c>
      <c r="B86">
        <v>68</v>
      </c>
    </row>
    <row r="87" spans="1:2" x14ac:dyDescent="0.35">
      <c r="A87" t="s">
        <v>87</v>
      </c>
      <c r="B87">
        <v>74</v>
      </c>
    </row>
    <row r="88" spans="1:2" x14ac:dyDescent="0.35">
      <c r="A88" t="s">
        <v>88</v>
      </c>
      <c r="B88">
        <v>116</v>
      </c>
    </row>
    <row r="89" spans="1:2" x14ac:dyDescent="0.35">
      <c r="A89" t="s">
        <v>89</v>
      </c>
      <c r="B89">
        <v>87</v>
      </c>
    </row>
    <row r="90" spans="1:2" x14ac:dyDescent="0.35">
      <c r="A90" t="s">
        <v>90</v>
      </c>
      <c r="B90">
        <v>65</v>
      </c>
    </row>
    <row r="91" spans="1:2" x14ac:dyDescent="0.35">
      <c r="A91" t="s">
        <v>91</v>
      </c>
      <c r="B91">
        <v>32</v>
      </c>
    </row>
    <row r="92" spans="1:2" x14ac:dyDescent="0.35">
      <c r="A92" t="s">
        <v>92</v>
      </c>
      <c r="B92">
        <v>101</v>
      </c>
    </row>
    <row r="93" spans="1:2" x14ac:dyDescent="0.35">
      <c r="A93" t="s">
        <v>93</v>
      </c>
      <c r="B93">
        <v>59</v>
      </c>
    </row>
    <row r="94" spans="1:2" x14ac:dyDescent="0.35">
      <c r="A94" t="s">
        <v>94</v>
      </c>
      <c r="B94">
        <v>38</v>
      </c>
    </row>
    <row r="95" spans="1:2" x14ac:dyDescent="0.35">
      <c r="A95" t="s">
        <v>95</v>
      </c>
      <c r="B95">
        <v>119</v>
      </c>
    </row>
    <row r="96" spans="1:2" x14ac:dyDescent="0.35">
      <c r="A96" t="s">
        <v>96</v>
      </c>
      <c r="B96">
        <v>79</v>
      </c>
    </row>
    <row r="97" spans="1:2" x14ac:dyDescent="0.35">
      <c r="A97" t="s">
        <v>97</v>
      </c>
      <c r="B97">
        <v>61</v>
      </c>
    </row>
    <row r="98" spans="1:2" x14ac:dyDescent="0.35">
      <c r="A98" t="s">
        <v>98</v>
      </c>
      <c r="B98">
        <v>57</v>
      </c>
    </row>
    <row r="99" spans="1:2" x14ac:dyDescent="0.35">
      <c r="A99" t="s">
        <v>99</v>
      </c>
      <c r="B99">
        <v>75</v>
      </c>
    </row>
    <row r="100" spans="1:2" x14ac:dyDescent="0.35">
      <c r="A100" t="s">
        <v>100</v>
      </c>
      <c r="B100">
        <v>54</v>
      </c>
    </row>
    <row r="101" spans="1:2" x14ac:dyDescent="0.35">
      <c r="A101" t="s">
        <v>101</v>
      </c>
      <c r="B101">
        <v>59</v>
      </c>
    </row>
    <row r="102" spans="1:2" x14ac:dyDescent="0.35">
      <c r="A102" t="s">
        <v>102</v>
      </c>
      <c r="B102">
        <v>54</v>
      </c>
    </row>
    <row r="103" spans="1:2" x14ac:dyDescent="0.35">
      <c r="A103" t="s">
        <v>103</v>
      </c>
      <c r="B103">
        <v>51</v>
      </c>
    </row>
    <row r="104" spans="1:2" x14ac:dyDescent="0.35">
      <c r="A104" t="s">
        <v>104</v>
      </c>
      <c r="B104">
        <v>50</v>
      </c>
    </row>
    <row r="105" spans="1:2" x14ac:dyDescent="0.35">
      <c r="A105" t="s">
        <v>105</v>
      </c>
      <c r="B105">
        <v>49</v>
      </c>
    </row>
    <row r="106" spans="1:2" x14ac:dyDescent="0.35">
      <c r="A106" t="s">
        <v>106</v>
      </c>
      <c r="B106">
        <v>115</v>
      </c>
    </row>
    <row r="107" spans="1:2" x14ac:dyDescent="0.35">
      <c r="A107" t="s">
        <v>107</v>
      </c>
      <c r="B107">
        <v>100</v>
      </c>
    </row>
    <row r="108" spans="1:2" x14ac:dyDescent="0.35">
      <c r="A108" t="s">
        <v>108</v>
      </c>
      <c r="B108">
        <v>50</v>
      </c>
    </row>
    <row r="109" spans="1:2" x14ac:dyDescent="0.35">
      <c r="A109" t="s">
        <v>109</v>
      </c>
      <c r="B109">
        <v>44</v>
      </c>
    </row>
    <row r="110" spans="1:2" x14ac:dyDescent="0.35">
      <c r="A110" t="s">
        <v>110</v>
      </c>
      <c r="B110">
        <v>42</v>
      </c>
    </row>
    <row r="111" spans="1:2" x14ac:dyDescent="0.35">
      <c r="A111" t="s">
        <v>111</v>
      </c>
      <c r="B111">
        <v>33</v>
      </c>
    </row>
    <row r="112" spans="1:2" x14ac:dyDescent="0.35">
      <c r="A112" t="s">
        <v>112</v>
      </c>
      <c r="B112">
        <v>88</v>
      </c>
    </row>
    <row r="113" spans="1:2" x14ac:dyDescent="0.35">
      <c r="A113" t="s">
        <v>113</v>
      </c>
      <c r="B113">
        <v>116</v>
      </c>
    </row>
    <row r="114" spans="1:2" x14ac:dyDescent="0.35">
      <c r="A114" t="s">
        <v>114</v>
      </c>
      <c r="B114">
        <v>32</v>
      </c>
    </row>
    <row r="115" spans="1:2" x14ac:dyDescent="0.35">
      <c r="A115" t="s">
        <v>115</v>
      </c>
      <c r="B115">
        <v>31</v>
      </c>
    </row>
    <row r="116" spans="1:2" x14ac:dyDescent="0.35">
      <c r="A116" t="s">
        <v>116</v>
      </c>
      <c r="B116">
        <v>76</v>
      </c>
    </row>
    <row r="117" spans="1:2" x14ac:dyDescent="0.35">
      <c r="A117" t="s">
        <v>117</v>
      </c>
      <c r="B117">
        <v>76</v>
      </c>
    </row>
    <row r="118" spans="1:2" x14ac:dyDescent="0.35">
      <c r="A118" t="s">
        <v>118</v>
      </c>
      <c r="B118">
        <v>40</v>
      </c>
    </row>
    <row r="119" spans="1:2" x14ac:dyDescent="0.35">
      <c r="A119" t="s">
        <v>119</v>
      </c>
      <c r="B119">
        <v>103</v>
      </c>
    </row>
    <row r="120" spans="1:2" x14ac:dyDescent="0.35">
      <c r="A120" t="s">
        <v>120</v>
      </c>
      <c r="B120">
        <v>72</v>
      </c>
    </row>
    <row r="121" spans="1:2" x14ac:dyDescent="0.35">
      <c r="A121" t="s">
        <v>121</v>
      </c>
      <c r="B121">
        <v>91</v>
      </c>
    </row>
    <row r="122" spans="1:2" x14ac:dyDescent="0.35">
      <c r="A122" t="s">
        <v>122</v>
      </c>
      <c r="B122">
        <v>32</v>
      </c>
    </row>
    <row r="123" spans="1:2" x14ac:dyDescent="0.35">
      <c r="A123" t="s">
        <v>123</v>
      </c>
      <c r="B123">
        <v>118</v>
      </c>
    </row>
    <row r="124" spans="1:2" x14ac:dyDescent="0.35">
      <c r="A124" t="s">
        <v>124</v>
      </c>
      <c r="B124">
        <v>97</v>
      </c>
    </row>
    <row r="125" spans="1:2" x14ac:dyDescent="0.35">
      <c r="A125" t="s">
        <v>125</v>
      </c>
      <c r="B125">
        <v>30</v>
      </c>
    </row>
    <row r="126" spans="1:2" x14ac:dyDescent="0.35">
      <c r="A126" t="s">
        <v>126</v>
      </c>
      <c r="B126">
        <v>106</v>
      </c>
    </row>
    <row r="127" spans="1:2" x14ac:dyDescent="0.35">
      <c r="A127" t="s">
        <v>127</v>
      </c>
      <c r="B127">
        <v>108</v>
      </c>
    </row>
    <row r="128" spans="1:2" x14ac:dyDescent="0.35">
      <c r="A128" t="s">
        <v>128</v>
      </c>
      <c r="B128">
        <v>53</v>
      </c>
    </row>
    <row r="129" spans="1:2" x14ac:dyDescent="0.35">
      <c r="A129" t="s">
        <v>129</v>
      </c>
      <c r="B129">
        <v>57</v>
      </c>
    </row>
    <row r="130" spans="1:2" x14ac:dyDescent="0.35">
      <c r="A130" t="s">
        <v>130</v>
      </c>
      <c r="B130">
        <v>97</v>
      </c>
    </row>
    <row r="131" spans="1:2" x14ac:dyDescent="0.35">
      <c r="A131" t="s">
        <v>131</v>
      </c>
      <c r="B131">
        <v>69</v>
      </c>
    </row>
    <row r="132" spans="1:2" x14ac:dyDescent="0.35">
      <c r="A132" t="s">
        <v>132</v>
      </c>
      <c r="B132">
        <v>108</v>
      </c>
    </row>
    <row r="133" spans="1:2" x14ac:dyDescent="0.35">
      <c r="A133" t="s">
        <v>133</v>
      </c>
      <c r="B133">
        <v>35</v>
      </c>
    </row>
    <row r="134" spans="1:2" x14ac:dyDescent="0.35">
      <c r="A134" t="s">
        <v>134</v>
      </c>
      <c r="B134">
        <v>30</v>
      </c>
    </row>
    <row r="135" spans="1:2" x14ac:dyDescent="0.35">
      <c r="A135" t="s">
        <v>135</v>
      </c>
      <c r="B135">
        <v>49</v>
      </c>
    </row>
    <row r="136" spans="1:2" x14ac:dyDescent="0.35">
      <c r="A136" t="s">
        <v>136</v>
      </c>
      <c r="B136">
        <v>59</v>
      </c>
    </row>
    <row r="137" spans="1:2" x14ac:dyDescent="0.35">
      <c r="A137" t="s">
        <v>137</v>
      </c>
      <c r="B137">
        <v>58</v>
      </c>
    </row>
    <row r="138" spans="1:2" x14ac:dyDescent="0.35">
      <c r="A138" t="s">
        <v>138</v>
      </c>
      <c r="B138">
        <v>46</v>
      </c>
    </row>
    <row r="139" spans="1:2" x14ac:dyDescent="0.35">
      <c r="A139" t="s">
        <v>139</v>
      </c>
      <c r="B139">
        <v>89</v>
      </c>
    </row>
    <row r="140" spans="1:2" x14ac:dyDescent="0.35">
      <c r="A140" t="s">
        <v>140</v>
      </c>
      <c r="B140">
        <v>30</v>
      </c>
    </row>
    <row r="141" spans="1:2" x14ac:dyDescent="0.35">
      <c r="A141" t="s">
        <v>141</v>
      </c>
      <c r="B141">
        <v>103</v>
      </c>
    </row>
    <row r="142" spans="1:2" x14ac:dyDescent="0.35">
      <c r="A142" t="s">
        <v>142</v>
      </c>
      <c r="B142">
        <v>117</v>
      </c>
    </row>
    <row r="143" spans="1:2" x14ac:dyDescent="0.35">
      <c r="A143" t="s">
        <v>143</v>
      </c>
      <c r="B143">
        <v>53</v>
      </c>
    </row>
    <row r="144" spans="1:2" x14ac:dyDescent="0.35">
      <c r="A144" t="s">
        <v>144</v>
      </c>
      <c r="B144">
        <v>66</v>
      </c>
    </row>
    <row r="145" spans="1:2" x14ac:dyDescent="0.35">
      <c r="A145" t="s">
        <v>145</v>
      </c>
      <c r="B145">
        <v>114</v>
      </c>
    </row>
    <row r="146" spans="1:2" x14ac:dyDescent="0.35">
      <c r="A146" t="s">
        <v>146</v>
      </c>
      <c r="B146">
        <v>39</v>
      </c>
    </row>
    <row r="147" spans="1:2" x14ac:dyDescent="0.35">
      <c r="A147" t="s">
        <v>147</v>
      </c>
      <c r="B147">
        <v>69</v>
      </c>
    </row>
    <row r="148" spans="1:2" x14ac:dyDescent="0.35">
      <c r="A148" t="s">
        <v>148</v>
      </c>
      <c r="B148">
        <v>106</v>
      </c>
    </row>
    <row r="149" spans="1:2" x14ac:dyDescent="0.35">
      <c r="A149" t="s">
        <v>149</v>
      </c>
      <c r="B149">
        <v>93</v>
      </c>
    </row>
    <row r="150" spans="1:2" x14ac:dyDescent="0.35">
      <c r="A150" t="s">
        <v>150</v>
      </c>
      <c r="B150">
        <v>46</v>
      </c>
    </row>
    <row r="151" spans="1:2" x14ac:dyDescent="0.35">
      <c r="A151" t="s">
        <v>151</v>
      </c>
      <c r="B151">
        <v>103</v>
      </c>
    </row>
    <row r="152" spans="1:2" x14ac:dyDescent="0.35">
      <c r="A152" t="s">
        <v>152</v>
      </c>
      <c r="B152">
        <v>115</v>
      </c>
    </row>
    <row r="153" spans="1:2" x14ac:dyDescent="0.35">
      <c r="A153" t="s">
        <v>153</v>
      </c>
      <c r="B153">
        <v>104</v>
      </c>
    </row>
    <row r="154" spans="1:2" x14ac:dyDescent="0.35">
      <c r="A154" t="s">
        <v>154</v>
      </c>
      <c r="B154">
        <v>78</v>
      </c>
    </row>
    <row r="155" spans="1:2" x14ac:dyDescent="0.35">
      <c r="A155" t="s">
        <v>155</v>
      </c>
      <c r="B155">
        <v>69</v>
      </c>
    </row>
    <row r="156" spans="1:2" x14ac:dyDescent="0.35">
      <c r="A156" t="s">
        <v>156</v>
      </c>
      <c r="B156">
        <v>62</v>
      </c>
    </row>
    <row r="157" spans="1:2" x14ac:dyDescent="0.35">
      <c r="A157" t="s">
        <v>157</v>
      </c>
      <c r="B157">
        <v>64</v>
      </c>
    </row>
    <row r="158" spans="1:2" x14ac:dyDescent="0.35">
      <c r="A158" t="s">
        <v>158</v>
      </c>
      <c r="B158">
        <v>66</v>
      </c>
    </row>
    <row r="159" spans="1:2" x14ac:dyDescent="0.35">
      <c r="A159" t="s">
        <v>159</v>
      </c>
      <c r="B159">
        <v>63</v>
      </c>
    </row>
    <row r="160" spans="1:2" x14ac:dyDescent="0.35">
      <c r="A160" t="s">
        <v>160</v>
      </c>
      <c r="B160">
        <v>38</v>
      </c>
    </row>
    <row r="161" spans="1:2" x14ac:dyDescent="0.35">
      <c r="A161" t="s">
        <v>161</v>
      </c>
      <c r="B161">
        <v>75</v>
      </c>
    </row>
    <row r="162" spans="1:2" x14ac:dyDescent="0.35">
      <c r="A162" t="s">
        <v>162</v>
      </c>
      <c r="B162">
        <v>36</v>
      </c>
    </row>
    <row r="163" spans="1:2" x14ac:dyDescent="0.35">
      <c r="A163" t="s">
        <v>163</v>
      </c>
      <c r="B163">
        <v>98</v>
      </c>
    </row>
    <row r="164" spans="1:2" x14ac:dyDescent="0.35">
      <c r="A164" t="s">
        <v>164</v>
      </c>
      <c r="B164">
        <v>61</v>
      </c>
    </row>
    <row r="165" spans="1:2" x14ac:dyDescent="0.35">
      <c r="A165" t="s">
        <v>165</v>
      </c>
      <c r="B165">
        <v>86</v>
      </c>
    </row>
    <row r="166" spans="1:2" x14ac:dyDescent="0.35">
      <c r="A166" t="s">
        <v>166</v>
      </c>
      <c r="B166">
        <v>31</v>
      </c>
    </row>
    <row r="167" spans="1:2" x14ac:dyDescent="0.35">
      <c r="A167" t="s">
        <v>167</v>
      </c>
      <c r="B167">
        <v>100</v>
      </c>
    </row>
    <row r="168" spans="1:2" x14ac:dyDescent="0.35">
      <c r="A168" t="s">
        <v>168</v>
      </c>
      <c r="B168">
        <v>31</v>
      </c>
    </row>
    <row r="169" spans="1:2" x14ac:dyDescent="0.35">
      <c r="A169" t="s">
        <v>169</v>
      </c>
      <c r="B169">
        <v>94</v>
      </c>
    </row>
    <row r="170" spans="1:2" x14ac:dyDescent="0.35">
      <c r="A170" t="s">
        <v>170</v>
      </c>
      <c r="B170">
        <v>45</v>
      </c>
    </row>
    <row r="171" spans="1:2" x14ac:dyDescent="0.35">
      <c r="A171" t="s">
        <v>171</v>
      </c>
      <c r="B171">
        <v>96</v>
      </c>
    </row>
    <row r="172" spans="1:2" x14ac:dyDescent="0.35">
      <c r="A172" t="s">
        <v>172</v>
      </c>
      <c r="B172">
        <v>104</v>
      </c>
    </row>
    <row r="173" spans="1:2" x14ac:dyDescent="0.35">
      <c r="A173" t="s">
        <v>173</v>
      </c>
      <c r="B173">
        <v>65</v>
      </c>
    </row>
    <row r="174" spans="1:2" x14ac:dyDescent="0.35">
      <c r="A174" t="s">
        <v>174</v>
      </c>
      <c r="B174">
        <v>90</v>
      </c>
    </row>
    <row r="175" spans="1:2" x14ac:dyDescent="0.35">
      <c r="A175" t="s">
        <v>175</v>
      </c>
      <c r="B175">
        <v>102</v>
      </c>
    </row>
    <row r="176" spans="1:2" x14ac:dyDescent="0.35">
      <c r="A176" t="s">
        <v>176</v>
      </c>
      <c r="B176">
        <v>80</v>
      </c>
    </row>
    <row r="177" spans="1:2" x14ac:dyDescent="0.35">
      <c r="A177" t="s">
        <v>177</v>
      </c>
      <c r="B177">
        <v>56</v>
      </c>
    </row>
    <row r="178" spans="1:2" x14ac:dyDescent="0.35">
      <c r="A178" t="s">
        <v>178</v>
      </c>
      <c r="B178">
        <v>87</v>
      </c>
    </row>
    <row r="179" spans="1:2" x14ac:dyDescent="0.35">
      <c r="A179" t="s">
        <v>179</v>
      </c>
      <c r="B179">
        <v>87</v>
      </c>
    </row>
    <row r="180" spans="1:2" x14ac:dyDescent="0.35">
      <c r="A180" t="s">
        <v>180</v>
      </c>
      <c r="B180">
        <v>79</v>
      </c>
    </row>
    <row r="181" spans="1:2" x14ac:dyDescent="0.35">
      <c r="A181" t="s">
        <v>181</v>
      </c>
      <c r="B181">
        <v>76</v>
      </c>
    </row>
    <row r="182" spans="1:2" x14ac:dyDescent="0.35">
      <c r="A182" t="s">
        <v>182</v>
      </c>
      <c r="B182">
        <v>67</v>
      </c>
    </row>
    <row r="183" spans="1:2" x14ac:dyDescent="0.35">
      <c r="A183" t="s">
        <v>183</v>
      </c>
      <c r="B183">
        <v>119</v>
      </c>
    </row>
    <row r="184" spans="1:2" x14ac:dyDescent="0.35">
      <c r="A184" t="s">
        <v>184</v>
      </c>
      <c r="B184">
        <v>82</v>
      </c>
    </row>
    <row r="185" spans="1:2" x14ac:dyDescent="0.35">
      <c r="A185" t="s">
        <v>185</v>
      </c>
      <c r="B185">
        <v>101</v>
      </c>
    </row>
    <row r="186" spans="1:2" x14ac:dyDescent="0.35">
      <c r="A186" t="s">
        <v>186</v>
      </c>
      <c r="B186">
        <v>92</v>
      </c>
    </row>
    <row r="187" spans="1:2" x14ac:dyDescent="0.35">
      <c r="A187" t="s">
        <v>187</v>
      </c>
      <c r="B187">
        <v>52</v>
      </c>
    </row>
    <row r="188" spans="1:2" x14ac:dyDescent="0.35">
      <c r="A188" t="s">
        <v>188</v>
      </c>
      <c r="B188">
        <v>54</v>
      </c>
    </row>
    <row r="189" spans="1:2" x14ac:dyDescent="0.35">
      <c r="A189" t="s">
        <v>189</v>
      </c>
      <c r="B189">
        <v>44</v>
      </c>
    </row>
    <row r="190" spans="1:2" x14ac:dyDescent="0.35">
      <c r="A190" t="s">
        <v>190</v>
      </c>
      <c r="B190">
        <v>34</v>
      </c>
    </row>
    <row r="191" spans="1:2" x14ac:dyDescent="0.35">
      <c r="A191" t="s">
        <v>191</v>
      </c>
      <c r="B191">
        <v>111</v>
      </c>
    </row>
    <row r="192" spans="1:2" x14ac:dyDescent="0.35">
      <c r="A192" t="s">
        <v>192</v>
      </c>
      <c r="B192">
        <v>74</v>
      </c>
    </row>
    <row r="193" spans="1:2" x14ac:dyDescent="0.35">
      <c r="A193" t="s">
        <v>193</v>
      </c>
      <c r="B193">
        <v>85</v>
      </c>
    </row>
    <row r="194" spans="1:2" x14ac:dyDescent="0.35">
      <c r="A194" t="s">
        <v>194</v>
      </c>
      <c r="B194">
        <v>33</v>
      </c>
    </row>
    <row r="195" spans="1:2" x14ac:dyDescent="0.35">
      <c r="A195" t="s">
        <v>195</v>
      </c>
      <c r="B195">
        <v>110</v>
      </c>
    </row>
    <row r="196" spans="1:2" x14ac:dyDescent="0.35">
      <c r="A196" t="s">
        <v>196</v>
      </c>
      <c r="B196">
        <v>71</v>
      </c>
    </row>
    <row r="197" spans="1:2" x14ac:dyDescent="0.35">
      <c r="A197" t="s">
        <v>197</v>
      </c>
      <c r="B197">
        <v>84</v>
      </c>
    </row>
    <row r="198" spans="1:2" x14ac:dyDescent="0.35">
      <c r="A198" t="s">
        <v>198</v>
      </c>
      <c r="B198">
        <v>75</v>
      </c>
    </row>
    <row r="199" spans="1:2" x14ac:dyDescent="0.35">
      <c r="A199" t="s">
        <v>199</v>
      </c>
      <c r="B199">
        <v>109</v>
      </c>
    </row>
    <row r="200" spans="1:2" x14ac:dyDescent="0.35">
      <c r="A200" t="s">
        <v>200</v>
      </c>
      <c r="B200">
        <v>95</v>
      </c>
    </row>
    <row r="201" spans="1:2" x14ac:dyDescent="0.35">
      <c r="A201" t="s">
        <v>201</v>
      </c>
      <c r="B201">
        <v>42</v>
      </c>
    </row>
    <row r="202" spans="1:2" x14ac:dyDescent="0.35">
      <c r="A202" t="s">
        <v>202</v>
      </c>
      <c r="B202">
        <v>106</v>
      </c>
    </row>
    <row r="203" spans="1:2" x14ac:dyDescent="0.35">
      <c r="A203" t="s">
        <v>203</v>
      </c>
      <c r="B203">
        <v>51</v>
      </c>
    </row>
    <row r="204" spans="1:2" x14ac:dyDescent="0.35">
      <c r="A204" t="s">
        <v>204</v>
      </c>
      <c r="B204">
        <v>108</v>
      </c>
    </row>
    <row r="205" spans="1:2" x14ac:dyDescent="0.35">
      <c r="A205" t="s">
        <v>205</v>
      </c>
      <c r="B205">
        <v>47</v>
      </c>
    </row>
    <row r="206" spans="1:2" x14ac:dyDescent="0.35">
      <c r="A206" t="s">
        <v>206</v>
      </c>
      <c r="B206">
        <v>111</v>
      </c>
    </row>
    <row r="207" spans="1:2" x14ac:dyDescent="0.35">
      <c r="A207" t="s">
        <v>207</v>
      </c>
      <c r="B207">
        <v>113</v>
      </c>
    </row>
    <row r="208" spans="1:2" x14ac:dyDescent="0.35">
      <c r="A208" t="s">
        <v>208</v>
      </c>
      <c r="B208">
        <v>81</v>
      </c>
    </row>
    <row r="209" spans="1:2" x14ac:dyDescent="0.35">
      <c r="A209" t="s">
        <v>209</v>
      </c>
      <c r="B209">
        <v>57</v>
      </c>
    </row>
    <row r="210" spans="1:2" x14ac:dyDescent="0.35">
      <c r="A210" t="s">
        <v>210</v>
      </c>
      <c r="B210">
        <v>33</v>
      </c>
    </row>
    <row r="211" spans="1:2" x14ac:dyDescent="0.35">
      <c r="A211" t="s">
        <v>211</v>
      </c>
      <c r="B211">
        <v>62</v>
      </c>
    </row>
    <row r="212" spans="1:2" x14ac:dyDescent="0.35">
      <c r="A212" t="s">
        <v>212</v>
      </c>
      <c r="B212">
        <v>82</v>
      </c>
    </row>
    <row r="213" spans="1:2" x14ac:dyDescent="0.35">
      <c r="A213" t="s">
        <v>213</v>
      </c>
      <c r="B213">
        <v>94</v>
      </c>
    </row>
    <row r="214" spans="1:2" x14ac:dyDescent="0.35">
      <c r="A214" t="s">
        <v>214</v>
      </c>
      <c r="B214">
        <v>109</v>
      </c>
    </row>
    <row r="215" spans="1:2" x14ac:dyDescent="0.35">
      <c r="A215" t="s">
        <v>215</v>
      </c>
      <c r="B215">
        <v>112</v>
      </c>
    </row>
    <row r="216" spans="1:2" x14ac:dyDescent="0.35">
      <c r="A216" t="s">
        <v>216</v>
      </c>
      <c r="B216">
        <v>113</v>
      </c>
    </row>
    <row r="217" spans="1:2" x14ac:dyDescent="0.35">
      <c r="A217" t="s">
        <v>217</v>
      </c>
      <c r="B217">
        <v>78</v>
      </c>
    </row>
    <row r="218" spans="1:2" x14ac:dyDescent="0.35">
      <c r="A218" t="s">
        <v>218</v>
      </c>
      <c r="B218">
        <v>114</v>
      </c>
    </row>
    <row r="219" spans="1:2" x14ac:dyDescent="0.35">
      <c r="A219" t="s">
        <v>219</v>
      </c>
      <c r="B219">
        <v>43</v>
      </c>
    </row>
    <row r="220" spans="1:2" x14ac:dyDescent="0.35">
      <c r="A220" t="s">
        <v>220</v>
      </c>
      <c r="B220">
        <v>80</v>
      </c>
    </row>
    <row r="221" spans="1:2" x14ac:dyDescent="0.35">
      <c r="A221" t="s">
        <v>221</v>
      </c>
      <c r="B221">
        <v>93</v>
      </c>
    </row>
    <row r="222" spans="1:2" x14ac:dyDescent="0.35">
      <c r="A222" t="s">
        <v>222</v>
      </c>
      <c r="B222">
        <v>101</v>
      </c>
    </row>
    <row r="223" spans="1:2" x14ac:dyDescent="0.35">
      <c r="A223" t="s">
        <v>223</v>
      </c>
      <c r="B223">
        <v>68</v>
      </c>
    </row>
    <row r="224" spans="1:2" x14ac:dyDescent="0.35">
      <c r="A224" t="s">
        <v>224</v>
      </c>
      <c r="B224">
        <v>53</v>
      </c>
    </row>
    <row r="225" spans="1:2" x14ac:dyDescent="0.35">
      <c r="A225" t="s">
        <v>225</v>
      </c>
      <c r="B225">
        <v>64</v>
      </c>
    </row>
    <row r="226" spans="1:2" x14ac:dyDescent="0.35">
      <c r="A226" t="s">
        <v>226</v>
      </c>
      <c r="B226">
        <v>90</v>
      </c>
    </row>
    <row r="227" spans="1:2" x14ac:dyDescent="0.35">
      <c r="A227" t="s">
        <v>227</v>
      </c>
      <c r="B227">
        <v>105</v>
      </c>
    </row>
    <row r="228" spans="1:2" x14ac:dyDescent="0.35">
      <c r="A228" t="s">
        <v>228</v>
      </c>
      <c r="B228">
        <v>70</v>
      </c>
    </row>
    <row r="229" spans="1:2" x14ac:dyDescent="0.35">
      <c r="A229" t="s">
        <v>229</v>
      </c>
      <c r="B229">
        <v>74</v>
      </c>
    </row>
    <row r="230" spans="1:2" x14ac:dyDescent="0.35">
      <c r="A230" t="s">
        <v>230</v>
      </c>
      <c r="B230">
        <v>110</v>
      </c>
    </row>
    <row r="231" spans="1:2" x14ac:dyDescent="0.35">
      <c r="A231" t="s">
        <v>231</v>
      </c>
      <c r="B231">
        <v>112</v>
      </c>
    </row>
    <row r="232" spans="1:2" x14ac:dyDescent="0.35">
      <c r="A232" t="s">
        <v>232</v>
      </c>
      <c r="B232">
        <v>54</v>
      </c>
    </row>
    <row r="233" spans="1:2" x14ac:dyDescent="0.35">
      <c r="A233" t="s">
        <v>233</v>
      </c>
      <c r="B233">
        <v>83</v>
      </c>
    </row>
    <row r="234" spans="1:2" x14ac:dyDescent="0.35">
      <c r="A234" t="s">
        <v>234</v>
      </c>
      <c r="B234">
        <v>113</v>
      </c>
    </row>
    <row r="235" spans="1:2" x14ac:dyDescent="0.35">
      <c r="A235" t="s">
        <v>235</v>
      </c>
      <c r="B235">
        <v>50</v>
      </c>
    </row>
  </sheetData>
  <mergeCells count="1">
    <mergeCell ref="K2:P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667D-BB14-4CF9-8D24-A709FDB0BF56}">
  <dimension ref="A1:P235"/>
  <sheetViews>
    <sheetView zoomScale="70" zoomScaleNormal="70" workbookViewId="0">
      <selection activeCell="S8" sqref="S8"/>
    </sheetView>
  </sheetViews>
  <sheetFormatPr defaultRowHeight="14.5" x14ac:dyDescent="0.35"/>
  <cols>
    <col min="1" max="1" width="26" bestFit="1" customWidth="1"/>
    <col min="2" max="2" width="15.54296875" bestFit="1" customWidth="1"/>
    <col min="5" max="5" width="11.26953125" bestFit="1" customWidth="1"/>
    <col min="10" max="10" width="10.26953125" bestFit="1" customWidth="1"/>
    <col min="12" max="12" width="13.81640625" bestFit="1" customWidth="1"/>
  </cols>
  <sheetData>
    <row r="1" spans="1:16" x14ac:dyDescent="0.35">
      <c r="A1" t="s">
        <v>0</v>
      </c>
      <c r="B1" t="s">
        <v>1</v>
      </c>
    </row>
    <row r="2" spans="1:16" ht="15" customHeight="1" x14ac:dyDescent="0.35">
      <c r="A2" t="s">
        <v>125</v>
      </c>
      <c r="B2">
        <v>30</v>
      </c>
      <c r="E2" s="2" t="s">
        <v>236</v>
      </c>
      <c r="F2" s="5">
        <f>AVERAGE(prezzi3[Prezzo Medio])</f>
        <v>73.5</v>
      </c>
      <c r="H2" s="2" t="s">
        <v>237</v>
      </c>
      <c r="I2" s="5">
        <f>MEDIAN(prezzi3[Prezzo Medio])</f>
        <v>73.5</v>
      </c>
      <c r="K2" s="4"/>
      <c r="L2" s="4"/>
      <c r="M2" s="4"/>
      <c r="N2" s="4"/>
      <c r="O2" s="4"/>
      <c r="P2" s="4"/>
    </row>
    <row r="3" spans="1:16" x14ac:dyDescent="0.35">
      <c r="A3" t="s">
        <v>134</v>
      </c>
      <c r="B3">
        <v>30</v>
      </c>
      <c r="K3" s="3"/>
      <c r="L3" s="3"/>
      <c r="M3" s="3"/>
      <c r="N3" s="3"/>
      <c r="O3" s="3"/>
      <c r="P3" s="3"/>
    </row>
    <row r="4" spans="1:16" x14ac:dyDescent="0.35">
      <c r="A4" t="s">
        <v>140</v>
      </c>
      <c r="B4">
        <v>30</v>
      </c>
      <c r="E4" s="2" t="s">
        <v>238</v>
      </c>
      <c r="F4" s="5" cm="1">
        <f t="array" ref="F4:F5">_xlfn.MODE.MULT(prezzi3[Prezzo Medio])</f>
        <v>75</v>
      </c>
      <c r="H4" s="2" t="s">
        <v>239</v>
      </c>
      <c r="I4" s="5">
        <f>_xlfn.VAR.P(prezzi3[Prezzo Medio])</f>
        <v>754.06196581196582</v>
      </c>
      <c r="K4" s="3"/>
      <c r="L4" s="3"/>
      <c r="M4" s="3"/>
      <c r="N4" s="3"/>
      <c r="O4" s="3"/>
      <c r="P4" s="3"/>
    </row>
    <row r="5" spans="1:16" x14ac:dyDescent="0.35">
      <c r="A5" t="s">
        <v>2</v>
      </c>
      <c r="B5">
        <v>31</v>
      </c>
      <c r="F5" s="5">
        <v>78</v>
      </c>
      <c r="K5" s="3"/>
      <c r="L5" s="3"/>
      <c r="M5" s="3"/>
      <c r="N5" s="3"/>
      <c r="O5" s="3"/>
      <c r="P5" s="3"/>
    </row>
    <row r="6" spans="1:16" x14ac:dyDescent="0.35">
      <c r="A6" t="s">
        <v>115</v>
      </c>
      <c r="B6">
        <v>31</v>
      </c>
      <c r="K6" s="3"/>
      <c r="L6" s="3"/>
      <c r="M6" s="3"/>
      <c r="N6" s="3"/>
      <c r="O6" s="3"/>
      <c r="P6" s="3"/>
    </row>
    <row r="7" spans="1:16" x14ac:dyDescent="0.35">
      <c r="A7" t="s">
        <v>166</v>
      </c>
      <c r="B7">
        <v>31</v>
      </c>
      <c r="E7" s="2" t="s">
        <v>240</v>
      </c>
      <c r="F7" s="5">
        <f>_xlfn.STDEV.P(prezzi3[Prezzo Medio])</f>
        <v>27.460188743196319</v>
      </c>
      <c r="H7" s="2" t="s">
        <v>241</v>
      </c>
      <c r="I7" s="5">
        <f>_xlfn.QUARTILE.INC(prezzi3[Prezzo Medio],3)-_xlfn.QUARTILE.INC(prezzi3[Prezzo Medio],1)</f>
        <v>46.75</v>
      </c>
      <c r="K7" s="3"/>
      <c r="L7" s="3"/>
      <c r="M7" s="3"/>
      <c r="N7" s="3"/>
      <c r="O7" s="3"/>
      <c r="P7" s="3"/>
    </row>
    <row r="8" spans="1:16" x14ac:dyDescent="0.35">
      <c r="A8" t="s">
        <v>168</v>
      </c>
      <c r="B8">
        <v>31</v>
      </c>
    </row>
    <row r="9" spans="1:16" x14ac:dyDescent="0.35">
      <c r="A9" t="s">
        <v>23</v>
      </c>
      <c r="B9">
        <v>32</v>
      </c>
      <c r="H9" s="7" t="s">
        <v>245</v>
      </c>
      <c r="I9" s="7"/>
      <c r="J9" s="7"/>
      <c r="L9" s="2" t="s">
        <v>249</v>
      </c>
      <c r="M9" s="6" t="s">
        <v>250</v>
      </c>
    </row>
    <row r="10" spans="1:16" x14ac:dyDescent="0.35">
      <c r="A10" t="s">
        <v>91</v>
      </c>
      <c r="B10">
        <v>32</v>
      </c>
      <c r="E10" s="2" t="s">
        <v>243</v>
      </c>
      <c r="F10" s="5">
        <f>MIN(prezzi3[Prezzo Medio])</f>
        <v>30</v>
      </c>
      <c r="H10" s="2" t="s">
        <v>247</v>
      </c>
      <c r="I10" s="2" t="s">
        <v>246</v>
      </c>
      <c r="J10" s="2" t="s">
        <v>248</v>
      </c>
    </row>
    <row r="11" spans="1:16" x14ac:dyDescent="0.35">
      <c r="A11" t="s">
        <v>114</v>
      </c>
      <c r="B11">
        <v>32</v>
      </c>
      <c r="E11" s="2" t="s">
        <v>244</v>
      </c>
      <c r="F11" s="5">
        <f>MAX(prezzi3[Prezzo Medio])</f>
        <v>120</v>
      </c>
      <c r="H11" s="1">
        <v>25</v>
      </c>
      <c r="I11" s="1">
        <v>45</v>
      </c>
      <c r="J11" s="5">
        <f>COUNTIFS(prezzi3[Prezzo Medio],"&gt;="&amp;H11,prezzi3[Prezzo Medio],"&lt;="&amp;I11)</f>
        <v>45</v>
      </c>
    </row>
    <row r="12" spans="1:16" x14ac:dyDescent="0.35">
      <c r="A12" t="s">
        <v>122</v>
      </c>
      <c r="B12">
        <v>32</v>
      </c>
      <c r="H12" s="1">
        <v>46</v>
      </c>
      <c r="I12" s="1">
        <v>65</v>
      </c>
      <c r="J12" s="5">
        <f>COUNTIFS(prezzi3[Prezzo Medio],"&gt;="&amp;H12,prezzi3[Prezzo Medio],"&lt;="&amp;I12)</f>
        <v>56</v>
      </c>
    </row>
    <row r="13" spans="1:16" x14ac:dyDescent="0.35">
      <c r="A13" t="s">
        <v>51</v>
      </c>
      <c r="B13">
        <v>33</v>
      </c>
      <c r="H13" s="1">
        <v>66</v>
      </c>
      <c r="I13" s="1">
        <v>85</v>
      </c>
      <c r="J13" s="5">
        <f>COUNTIFS(prezzi3[Prezzo Medio],"&gt;="&amp;H13,prezzi3[Prezzo Medio],"&lt;="&amp;I13)</f>
        <v>50</v>
      </c>
    </row>
    <row r="14" spans="1:16" x14ac:dyDescent="0.35">
      <c r="A14" t="s">
        <v>81</v>
      </c>
      <c r="B14">
        <v>33</v>
      </c>
      <c r="H14" s="1">
        <v>86</v>
      </c>
      <c r="I14" s="1">
        <v>105</v>
      </c>
      <c r="J14" s="5">
        <f>COUNTIFS(prezzi3[Prezzo Medio],"&gt;="&amp;H14,prezzi3[Prezzo Medio],"&lt;="&amp;I14)</f>
        <v>39</v>
      </c>
    </row>
    <row r="15" spans="1:16" x14ac:dyDescent="0.35">
      <c r="A15" t="s">
        <v>111</v>
      </c>
      <c r="B15">
        <v>33</v>
      </c>
      <c r="H15" s="1">
        <v>106</v>
      </c>
      <c r="I15" s="1">
        <v>125</v>
      </c>
      <c r="J15" s="5">
        <f>COUNTIFS(prezzi3[Prezzo Medio],"&gt;="&amp;H15,prezzi3[Prezzo Medio],"&lt;="&amp;I15)</f>
        <v>44</v>
      </c>
    </row>
    <row r="16" spans="1:16" x14ac:dyDescent="0.35">
      <c r="A16" t="s">
        <v>194</v>
      </c>
      <c r="B16">
        <v>33</v>
      </c>
    </row>
    <row r="17" spans="1:2" x14ac:dyDescent="0.35">
      <c r="A17" t="s">
        <v>210</v>
      </c>
      <c r="B17">
        <v>33</v>
      </c>
    </row>
    <row r="18" spans="1:2" x14ac:dyDescent="0.35">
      <c r="A18" t="s">
        <v>56</v>
      </c>
      <c r="B18">
        <v>34</v>
      </c>
    </row>
    <row r="19" spans="1:2" x14ac:dyDescent="0.35">
      <c r="A19" t="s">
        <v>62</v>
      </c>
      <c r="B19">
        <v>34</v>
      </c>
    </row>
    <row r="20" spans="1:2" x14ac:dyDescent="0.35">
      <c r="A20" t="s">
        <v>76</v>
      </c>
      <c r="B20">
        <v>34</v>
      </c>
    </row>
    <row r="21" spans="1:2" x14ac:dyDescent="0.35">
      <c r="A21" t="s">
        <v>190</v>
      </c>
      <c r="B21">
        <v>34</v>
      </c>
    </row>
    <row r="22" spans="1:2" x14ac:dyDescent="0.35">
      <c r="A22" t="s">
        <v>40</v>
      </c>
      <c r="B22">
        <v>35</v>
      </c>
    </row>
    <row r="23" spans="1:2" x14ac:dyDescent="0.35">
      <c r="A23" t="s">
        <v>133</v>
      </c>
      <c r="B23">
        <v>35</v>
      </c>
    </row>
    <row r="24" spans="1:2" x14ac:dyDescent="0.35">
      <c r="A24" t="s">
        <v>12</v>
      </c>
      <c r="B24">
        <v>36</v>
      </c>
    </row>
    <row r="25" spans="1:2" x14ac:dyDescent="0.35">
      <c r="A25" t="s">
        <v>22</v>
      </c>
      <c r="B25">
        <v>36</v>
      </c>
    </row>
    <row r="26" spans="1:2" x14ac:dyDescent="0.35">
      <c r="A26" t="s">
        <v>162</v>
      </c>
      <c r="B26">
        <v>36</v>
      </c>
    </row>
    <row r="27" spans="1:2" x14ac:dyDescent="0.35">
      <c r="A27" t="s">
        <v>68</v>
      </c>
      <c r="B27">
        <v>37</v>
      </c>
    </row>
    <row r="28" spans="1:2" x14ac:dyDescent="0.35">
      <c r="A28" t="s">
        <v>85</v>
      </c>
      <c r="B28">
        <v>37</v>
      </c>
    </row>
    <row r="29" spans="1:2" x14ac:dyDescent="0.35">
      <c r="A29" t="s">
        <v>53</v>
      </c>
      <c r="B29">
        <v>38</v>
      </c>
    </row>
    <row r="30" spans="1:2" x14ac:dyDescent="0.35">
      <c r="A30" t="s">
        <v>94</v>
      </c>
      <c r="B30">
        <v>38</v>
      </c>
    </row>
    <row r="31" spans="1:2" x14ac:dyDescent="0.35">
      <c r="A31" t="s">
        <v>160</v>
      </c>
      <c r="B31">
        <v>38</v>
      </c>
    </row>
    <row r="32" spans="1:2" x14ac:dyDescent="0.35">
      <c r="A32" t="s">
        <v>26</v>
      </c>
      <c r="B32">
        <v>39</v>
      </c>
    </row>
    <row r="33" spans="1:2" x14ac:dyDescent="0.35">
      <c r="A33" t="s">
        <v>43</v>
      </c>
      <c r="B33">
        <v>39</v>
      </c>
    </row>
    <row r="34" spans="1:2" x14ac:dyDescent="0.35">
      <c r="A34" t="s">
        <v>60</v>
      </c>
      <c r="B34">
        <v>39</v>
      </c>
    </row>
    <row r="35" spans="1:2" x14ac:dyDescent="0.35">
      <c r="A35" t="s">
        <v>74</v>
      </c>
      <c r="B35">
        <v>39</v>
      </c>
    </row>
    <row r="36" spans="1:2" x14ac:dyDescent="0.35">
      <c r="A36" t="s">
        <v>146</v>
      </c>
      <c r="B36">
        <v>39</v>
      </c>
    </row>
    <row r="37" spans="1:2" x14ac:dyDescent="0.35">
      <c r="A37" t="s">
        <v>75</v>
      </c>
      <c r="B37">
        <v>40</v>
      </c>
    </row>
    <row r="38" spans="1:2" x14ac:dyDescent="0.35">
      <c r="A38" t="s">
        <v>118</v>
      </c>
      <c r="B38">
        <v>40</v>
      </c>
    </row>
    <row r="39" spans="1:2" x14ac:dyDescent="0.35">
      <c r="A39" t="s">
        <v>83</v>
      </c>
      <c r="B39">
        <v>41</v>
      </c>
    </row>
    <row r="40" spans="1:2" x14ac:dyDescent="0.35">
      <c r="A40" t="s">
        <v>110</v>
      </c>
      <c r="B40">
        <v>42</v>
      </c>
    </row>
    <row r="41" spans="1:2" x14ac:dyDescent="0.35">
      <c r="A41" t="s">
        <v>201</v>
      </c>
      <c r="B41">
        <v>42</v>
      </c>
    </row>
    <row r="42" spans="1:2" x14ac:dyDescent="0.35">
      <c r="A42" t="s">
        <v>65</v>
      </c>
      <c r="B42">
        <v>43</v>
      </c>
    </row>
    <row r="43" spans="1:2" x14ac:dyDescent="0.35">
      <c r="A43" t="s">
        <v>219</v>
      </c>
      <c r="B43">
        <v>43</v>
      </c>
    </row>
    <row r="44" spans="1:2" x14ac:dyDescent="0.35">
      <c r="A44" t="s">
        <v>109</v>
      </c>
      <c r="B44">
        <v>44</v>
      </c>
    </row>
    <row r="45" spans="1:2" x14ac:dyDescent="0.35">
      <c r="A45" t="s">
        <v>189</v>
      </c>
      <c r="B45">
        <v>44</v>
      </c>
    </row>
    <row r="46" spans="1:2" x14ac:dyDescent="0.35">
      <c r="A46" t="s">
        <v>170</v>
      </c>
      <c r="B46">
        <v>45</v>
      </c>
    </row>
    <row r="47" spans="1:2" x14ac:dyDescent="0.35">
      <c r="A47" t="s">
        <v>21</v>
      </c>
      <c r="B47">
        <v>46</v>
      </c>
    </row>
    <row r="48" spans="1:2" x14ac:dyDescent="0.35">
      <c r="A48" t="s">
        <v>29</v>
      </c>
      <c r="B48">
        <v>46</v>
      </c>
    </row>
    <row r="49" spans="1:2" x14ac:dyDescent="0.35">
      <c r="A49" t="s">
        <v>138</v>
      </c>
      <c r="B49">
        <v>46</v>
      </c>
    </row>
    <row r="50" spans="1:2" x14ac:dyDescent="0.35">
      <c r="A50" t="s">
        <v>150</v>
      </c>
      <c r="B50">
        <v>46</v>
      </c>
    </row>
    <row r="51" spans="1:2" x14ac:dyDescent="0.35">
      <c r="A51" t="s">
        <v>205</v>
      </c>
      <c r="B51">
        <v>47</v>
      </c>
    </row>
    <row r="52" spans="1:2" x14ac:dyDescent="0.35">
      <c r="A52" t="s">
        <v>31</v>
      </c>
      <c r="B52">
        <v>48</v>
      </c>
    </row>
    <row r="53" spans="1:2" x14ac:dyDescent="0.35">
      <c r="A53" t="s">
        <v>7</v>
      </c>
      <c r="B53">
        <v>49</v>
      </c>
    </row>
    <row r="54" spans="1:2" x14ac:dyDescent="0.35">
      <c r="A54" t="s">
        <v>35</v>
      </c>
      <c r="B54">
        <v>49</v>
      </c>
    </row>
    <row r="55" spans="1:2" x14ac:dyDescent="0.35">
      <c r="A55" t="s">
        <v>63</v>
      </c>
      <c r="B55">
        <v>49</v>
      </c>
    </row>
    <row r="56" spans="1:2" x14ac:dyDescent="0.35">
      <c r="A56" t="s">
        <v>105</v>
      </c>
      <c r="B56">
        <v>49</v>
      </c>
    </row>
    <row r="57" spans="1:2" x14ac:dyDescent="0.35">
      <c r="A57" t="s">
        <v>135</v>
      </c>
      <c r="B57">
        <v>49</v>
      </c>
    </row>
    <row r="58" spans="1:2" x14ac:dyDescent="0.35">
      <c r="A58" t="s">
        <v>104</v>
      </c>
      <c r="B58">
        <v>50</v>
      </c>
    </row>
    <row r="59" spans="1:2" x14ac:dyDescent="0.35">
      <c r="A59" t="s">
        <v>108</v>
      </c>
      <c r="B59">
        <v>50</v>
      </c>
    </row>
    <row r="60" spans="1:2" x14ac:dyDescent="0.35">
      <c r="A60" t="s">
        <v>235</v>
      </c>
      <c r="B60">
        <v>50</v>
      </c>
    </row>
    <row r="61" spans="1:2" x14ac:dyDescent="0.35">
      <c r="A61" t="s">
        <v>32</v>
      </c>
      <c r="B61">
        <v>51</v>
      </c>
    </row>
    <row r="62" spans="1:2" x14ac:dyDescent="0.35">
      <c r="A62" t="s">
        <v>103</v>
      </c>
      <c r="B62">
        <v>51</v>
      </c>
    </row>
    <row r="63" spans="1:2" x14ac:dyDescent="0.35">
      <c r="A63" t="s">
        <v>203</v>
      </c>
      <c r="B63">
        <v>51</v>
      </c>
    </row>
    <row r="64" spans="1:2" x14ac:dyDescent="0.35">
      <c r="A64" t="s">
        <v>17</v>
      </c>
      <c r="B64">
        <v>52</v>
      </c>
    </row>
    <row r="65" spans="1:2" x14ac:dyDescent="0.35">
      <c r="A65" t="s">
        <v>64</v>
      </c>
      <c r="B65">
        <v>52</v>
      </c>
    </row>
    <row r="66" spans="1:2" x14ac:dyDescent="0.35">
      <c r="A66" t="s">
        <v>72</v>
      </c>
      <c r="B66">
        <v>52</v>
      </c>
    </row>
    <row r="67" spans="1:2" x14ac:dyDescent="0.35">
      <c r="A67" t="s">
        <v>187</v>
      </c>
      <c r="B67">
        <v>52</v>
      </c>
    </row>
    <row r="68" spans="1:2" x14ac:dyDescent="0.35">
      <c r="A68" t="s">
        <v>128</v>
      </c>
      <c r="B68">
        <v>53</v>
      </c>
    </row>
    <row r="69" spans="1:2" x14ac:dyDescent="0.35">
      <c r="A69" t="s">
        <v>143</v>
      </c>
      <c r="B69">
        <v>53</v>
      </c>
    </row>
    <row r="70" spans="1:2" x14ac:dyDescent="0.35">
      <c r="A70" t="s">
        <v>224</v>
      </c>
      <c r="B70">
        <v>53</v>
      </c>
    </row>
    <row r="71" spans="1:2" x14ac:dyDescent="0.35">
      <c r="A71" t="s">
        <v>100</v>
      </c>
      <c r="B71">
        <v>54</v>
      </c>
    </row>
    <row r="72" spans="1:2" x14ac:dyDescent="0.35">
      <c r="A72" t="s">
        <v>102</v>
      </c>
      <c r="B72">
        <v>54</v>
      </c>
    </row>
    <row r="73" spans="1:2" x14ac:dyDescent="0.35">
      <c r="A73" t="s">
        <v>188</v>
      </c>
      <c r="B73">
        <v>54</v>
      </c>
    </row>
    <row r="74" spans="1:2" x14ac:dyDescent="0.35">
      <c r="A74" t="s">
        <v>232</v>
      </c>
      <c r="B74">
        <v>54</v>
      </c>
    </row>
    <row r="75" spans="1:2" x14ac:dyDescent="0.35">
      <c r="A75" t="s">
        <v>66</v>
      </c>
      <c r="B75">
        <v>55</v>
      </c>
    </row>
    <row r="76" spans="1:2" x14ac:dyDescent="0.35">
      <c r="A76" t="s">
        <v>47</v>
      </c>
      <c r="B76">
        <v>56</v>
      </c>
    </row>
    <row r="77" spans="1:2" x14ac:dyDescent="0.35">
      <c r="A77" t="s">
        <v>52</v>
      </c>
      <c r="B77">
        <v>56</v>
      </c>
    </row>
    <row r="78" spans="1:2" x14ac:dyDescent="0.35">
      <c r="A78" t="s">
        <v>177</v>
      </c>
      <c r="B78">
        <v>56</v>
      </c>
    </row>
    <row r="79" spans="1:2" x14ac:dyDescent="0.35">
      <c r="A79" t="s">
        <v>98</v>
      </c>
      <c r="B79">
        <v>57</v>
      </c>
    </row>
    <row r="80" spans="1:2" x14ac:dyDescent="0.35">
      <c r="A80" t="s">
        <v>129</v>
      </c>
      <c r="B80">
        <v>57</v>
      </c>
    </row>
    <row r="81" spans="1:2" x14ac:dyDescent="0.35">
      <c r="A81" t="s">
        <v>209</v>
      </c>
      <c r="B81">
        <v>57</v>
      </c>
    </row>
    <row r="82" spans="1:2" x14ac:dyDescent="0.35">
      <c r="A82" t="s">
        <v>8</v>
      </c>
      <c r="B82">
        <v>58</v>
      </c>
    </row>
    <row r="83" spans="1:2" x14ac:dyDescent="0.35">
      <c r="A83" t="s">
        <v>44</v>
      </c>
      <c r="B83">
        <v>58</v>
      </c>
    </row>
    <row r="84" spans="1:2" x14ac:dyDescent="0.35">
      <c r="A84" t="s">
        <v>84</v>
      </c>
      <c r="B84">
        <v>58</v>
      </c>
    </row>
    <row r="85" spans="1:2" x14ac:dyDescent="0.35">
      <c r="A85" t="s">
        <v>137</v>
      </c>
      <c r="B85">
        <v>58</v>
      </c>
    </row>
    <row r="86" spans="1:2" x14ac:dyDescent="0.35">
      <c r="A86" t="s">
        <v>93</v>
      </c>
      <c r="B86">
        <v>59</v>
      </c>
    </row>
    <row r="87" spans="1:2" x14ac:dyDescent="0.35">
      <c r="A87" t="s">
        <v>101</v>
      </c>
      <c r="B87">
        <v>59</v>
      </c>
    </row>
    <row r="88" spans="1:2" x14ac:dyDescent="0.35">
      <c r="A88" t="s">
        <v>136</v>
      </c>
      <c r="B88">
        <v>59</v>
      </c>
    </row>
    <row r="89" spans="1:2" x14ac:dyDescent="0.35">
      <c r="A89" t="s">
        <v>77</v>
      </c>
      <c r="B89">
        <v>60</v>
      </c>
    </row>
    <row r="90" spans="1:2" x14ac:dyDescent="0.35">
      <c r="A90" t="s">
        <v>33</v>
      </c>
      <c r="B90">
        <v>61</v>
      </c>
    </row>
    <row r="91" spans="1:2" x14ac:dyDescent="0.35">
      <c r="A91" t="s">
        <v>97</v>
      </c>
      <c r="B91">
        <v>61</v>
      </c>
    </row>
    <row r="92" spans="1:2" x14ac:dyDescent="0.35">
      <c r="A92" t="s">
        <v>164</v>
      </c>
      <c r="B92">
        <v>61</v>
      </c>
    </row>
    <row r="93" spans="1:2" x14ac:dyDescent="0.35">
      <c r="A93" t="s">
        <v>156</v>
      </c>
      <c r="B93">
        <v>62</v>
      </c>
    </row>
    <row r="94" spans="1:2" x14ac:dyDescent="0.35">
      <c r="A94" t="s">
        <v>211</v>
      </c>
      <c r="B94">
        <v>62</v>
      </c>
    </row>
    <row r="95" spans="1:2" x14ac:dyDescent="0.35">
      <c r="A95" t="s">
        <v>159</v>
      </c>
      <c r="B95">
        <v>63</v>
      </c>
    </row>
    <row r="96" spans="1:2" x14ac:dyDescent="0.35">
      <c r="A96" t="s">
        <v>9</v>
      </c>
      <c r="B96">
        <v>64</v>
      </c>
    </row>
    <row r="97" spans="1:2" x14ac:dyDescent="0.35">
      <c r="A97" t="s">
        <v>28</v>
      </c>
      <c r="B97">
        <v>64</v>
      </c>
    </row>
    <row r="98" spans="1:2" x14ac:dyDescent="0.35">
      <c r="A98" t="s">
        <v>157</v>
      </c>
      <c r="B98">
        <v>64</v>
      </c>
    </row>
    <row r="99" spans="1:2" x14ac:dyDescent="0.35">
      <c r="A99" t="s">
        <v>225</v>
      </c>
      <c r="B99">
        <v>64</v>
      </c>
    </row>
    <row r="100" spans="1:2" x14ac:dyDescent="0.35">
      <c r="A100" t="s">
        <v>69</v>
      </c>
      <c r="B100">
        <v>65</v>
      </c>
    </row>
    <row r="101" spans="1:2" x14ac:dyDescent="0.35">
      <c r="A101" t="s">
        <v>90</v>
      </c>
      <c r="B101">
        <v>65</v>
      </c>
    </row>
    <row r="102" spans="1:2" x14ac:dyDescent="0.35">
      <c r="A102" t="s">
        <v>173</v>
      </c>
      <c r="B102">
        <v>65</v>
      </c>
    </row>
    <row r="103" spans="1:2" x14ac:dyDescent="0.35">
      <c r="A103" t="s">
        <v>15</v>
      </c>
      <c r="B103">
        <v>66</v>
      </c>
    </row>
    <row r="104" spans="1:2" x14ac:dyDescent="0.35">
      <c r="A104" t="s">
        <v>55</v>
      </c>
      <c r="B104">
        <v>66</v>
      </c>
    </row>
    <row r="105" spans="1:2" x14ac:dyDescent="0.35">
      <c r="A105" t="s">
        <v>144</v>
      </c>
      <c r="B105">
        <v>66</v>
      </c>
    </row>
    <row r="106" spans="1:2" x14ac:dyDescent="0.35">
      <c r="A106" t="s">
        <v>158</v>
      </c>
      <c r="B106">
        <v>66</v>
      </c>
    </row>
    <row r="107" spans="1:2" x14ac:dyDescent="0.35">
      <c r="A107" t="s">
        <v>182</v>
      </c>
      <c r="B107">
        <v>67</v>
      </c>
    </row>
    <row r="108" spans="1:2" x14ac:dyDescent="0.35">
      <c r="A108" t="s">
        <v>86</v>
      </c>
      <c r="B108">
        <v>68</v>
      </c>
    </row>
    <row r="109" spans="1:2" x14ac:dyDescent="0.35">
      <c r="A109" t="s">
        <v>223</v>
      </c>
      <c r="B109">
        <v>68</v>
      </c>
    </row>
    <row r="110" spans="1:2" x14ac:dyDescent="0.35">
      <c r="A110" t="s">
        <v>131</v>
      </c>
      <c r="B110">
        <v>69</v>
      </c>
    </row>
    <row r="111" spans="1:2" x14ac:dyDescent="0.35">
      <c r="A111" t="s">
        <v>147</v>
      </c>
      <c r="B111">
        <v>69</v>
      </c>
    </row>
    <row r="112" spans="1:2" x14ac:dyDescent="0.35">
      <c r="A112" t="s">
        <v>155</v>
      </c>
      <c r="B112">
        <v>69</v>
      </c>
    </row>
    <row r="113" spans="1:2" x14ac:dyDescent="0.35">
      <c r="A113" t="s">
        <v>228</v>
      </c>
      <c r="B113">
        <v>70</v>
      </c>
    </row>
    <row r="114" spans="1:2" x14ac:dyDescent="0.35">
      <c r="A114" t="s">
        <v>49</v>
      </c>
      <c r="B114">
        <v>71</v>
      </c>
    </row>
    <row r="115" spans="1:2" x14ac:dyDescent="0.35">
      <c r="A115" t="s">
        <v>196</v>
      </c>
      <c r="B115">
        <v>71</v>
      </c>
    </row>
    <row r="116" spans="1:2" x14ac:dyDescent="0.35">
      <c r="A116" t="s">
        <v>59</v>
      </c>
      <c r="B116">
        <v>72</v>
      </c>
    </row>
    <row r="117" spans="1:2" x14ac:dyDescent="0.35">
      <c r="A117" t="s">
        <v>120</v>
      </c>
      <c r="B117">
        <v>72</v>
      </c>
    </row>
    <row r="118" spans="1:2" x14ac:dyDescent="0.35">
      <c r="A118" t="s">
        <v>82</v>
      </c>
      <c r="B118">
        <v>73</v>
      </c>
    </row>
    <row r="119" spans="1:2" x14ac:dyDescent="0.35">
      <c r="A119" t="s">
        <v>87</v>
      </c>
      <c r="B119">
        <v>74</v>
      </c>
    </row>
    <row r="120" spans="1:2" x14ac:dyDescent="0.35">
      <c r="A120" t="s">
        <v>192</v>
      </c>
      <c r="B120">
        <v>74</v>
      </c>
    </row>
    <row r="121" spans="1:2" x14ac:dyDescent="0.35">
      <c r="A121" t="s">
        <v>229</v>
      </c>
      <c r="B121">
        <v>74</v>
      </c>
    </row>
    <row r="122" spans="1:2" x14ac:dyDescent="0.35">
      <c r="A122" t="s">
        <v>3</v>
      </c>
      <c r="B122">
        <v>75</v>
      </c>
    </row>
    <row r="123" spans="1:2" x14ac:dyDescent="0.35">
      <c r="A123" t="s">
        <v>18</v>
      </c>
      <c r="B123">
        <v>75</v>
      </c>
    </row>
    <row r="124" spans="1:2" x14ac:dyDescent="0.35">
      <c r="A124" t="s">
        <v>73</v>
      </c>
      <c r="B124">
        <v>75</v>
      </c>
    </row>
    <row r="125" spans="1:2" x14ac:dyDescent="0.35">
      <c r="A125" t="s">
        <v>99</v>
      </c>
      <c r="B125">
        <v>75</v>
      </c>
    </row>
    <row r="126" spans="1:2" x14ac:dyDescent="0.35">
      <c r="A126" t="s">
        <v>161</v>
      </c>
      <c r="B126">
        <v>75</v>
      </c>
    </row>
    <row r="127" spans="1:2" x14ac:dyDescent="0.35">
      <c r="A127" t="s">
        <v>198</v>
      </c>
      <c r="B127">
        <v>75</v>
      </c>
    </row>
    <row r="128" spans="1:2" x14ac:dyDescent="0.35">
      <c r="A128" t="s">
        <v>116</v>
      </c>
      <c r="B128">
        <v>76</v>
      </c>
    </row>
    <row r="129" spans="1:2" x14ac:dyDescent="0.35">
      <c r="A129" t="s">
        <v>117</v>
      </c>
      <c r="B129">
        <v>76</v>
      </c>
    </row>
    <row r="130" spans="1:2" x14ac:dyDescent="0.35">
      <c r="A130" t="s">
        <v>181</v>
      </c>
      <c r="B130">
        <v>76</v>
      </c>
    </row>
    <row r="131" spans="1:2" x14ac:dyDescent="0.35">
      <c r="A131" t="s">
        <v>4</v>
      </c>
      <c r="B131">
        <v>77</v>
      </c>
    </row>
    <row r="132" spans="1:2" x14ac:dyDescent="0.35">
      <c r="A132" t="s">
        <v>30</v>
      </c>
      <c r="B132">
        <v>78</v>
      </c>
    </row>
    <row r="133" spans="1:2" x14ac:dyDescent="0.35">
      <c r="A133" t="s">
        <v>42</v>
      </c>
      <c r="B133">
        <v>78</v>
      </c>
    </row>
    <row r="134" spans="1:2" x14ac:dyDescent="0.35">
      <c r="A134" t="s">
        <v>48</v>
      </c>
      <c r="B134">
        <v>78</v>
      </c>
    </row>
    <row r="135" spans="1:2" x14ac:dyDescent="0.35">
      <c r="A135" t="s">
        <v>70</v>
      </c>
      <c r="B135">
        <v>78</v>
      </c>
    </row>
    <row r="136" spans="1:2" x14ac:dyDescent="0.35">
      <c r="A136" t="s">
        <v>154</v>
      </c>
      <c r="B136">
        <v>78</v>
      </c>
    </row>
    <row r="137" spans="1:2" x14ac:dyDescent="0.35">
      <c r="A137" t="s">
        <v>217</v>
      </c>
      <c r="B137">
        <v>78</v>
      </c>
    </row>
    <row r="138" spans="1:2" x14ac:dyDescent="0.35">
      <c r="A138" t="s">
        <v>96</v>
      </c>
      <c r="B138">
        <v>79</v>
      </c>
    </row>
    <row r="139" spans="1:2" x14ac:dyDescent="0.35">
      <c r="A139" t="s">
        <v>180</v>
      </c>
      <c r="B139">
        <v>79</v>
      </c>
    </row>
    <row r="140" spans="1:2" x14ac:dyDescent="0.35">
      <c r="A140" t="s">
        <v>176</v>
      </c>
      <c r="B140">
        <v>80</v>
      </c>
    </row>
    <row r="141" spans="1:2" x14ac:dyDescent="0.35">
      <c r="A141" t="s">
        <v>220</v>
      </c>
      <c r="B141">
        <v>80</v>
      </c>
    </row>
    <row r="142" spans="1:2" x14ac:dyDescent="0.35">
      <c r="A142" t="s">
        <v>61</v>
      </c>
      <c r="B142">
        <v>81</v>
      </c>
    </row>
    <row r="143" spans="1:2" x14ac:dyDescent="0.35">
      <c r="A143" t="s">
        <v>80</v>
      </c>
      <c r="B143">
        <v>81</v>
      </c>
    </row>
    <row r="144" spans="1:2" x14ac:dyDescent="0.35">
      <c r="A144" t="s">
        <v>208</v>
      </c>
      <c r="B144">
        <v>81</v>
      </c>
    </row>
    <row r="145" spans="1:2" x14ac:dyDescent="0.35">
      <c r="A145" t="s">
        <v>184</v>
      </c>
      <c r="B145">
        <v>82</v>
      </c>
    </row>
    <row r="146" spans="1:2" x14ac:dyDescent="0.35">
      <c r="A146" t="s">
        <v>212</v>
      </c>
      <c r="B146">
        <v>82</v>
      </c>
    </row>
    <row r="147" spans="1:2" x14ac:dyDescent="0.35">
      <c r="A147" t="s">
        <v>6</v>
      </c>
      <c r="B147">
        <v>83</v>
      </c>
    </row>
    <row r="148" spans="1:2" x14ac:dyDescent="0.35">
      <c r="A148" t="s">
        <v>233</v>
      </c>
      <c r="B148">
        <v>83</v>
      </c>
    </row>
    <row r="149" spans="1:2" x14ac:dyDescent="0.35">
      <c r="A149" t="s">
        <v>197</v>
      </c>
      <c r="B149">
        <v>84</v>
      </c>
    </row>
    <row r="150" spans="1:2" x14ac:dyDescent="0.35">
      <c r="A150" t="s">
        <v>24</v>
      </c>
      <c r="B150">
        <v>85</v>
      </c>
    </row>
    <row r="151" spans="1:2" x14ac:dyDescent="0.35">
      <c r="A151" t="s">
        <v>38</v>
      </c>
      <c r="B151">
        <v>85</v>
      </c>
    </row>
    <row r="152" spans="1:2" x14ac:dyDescent="0.35">
      <c r="A152" t="s">
        <v>193</v>
      </c>
      <c r="B152">
        <v>85</v>
      </c>
    </row>
    <row r="153" spans="1:2" x14ac:dyDescent="0.35">
      <c r="A153" t="s">
        <v>41</v>
      </c>
      <c r="B153">
        <v>86</v>
      </c>
    </row>
    <row r="154" spans="1:2" x14ac:dyDescent="0.35">
      <c r="A154" t="s">
        <v>165</v>
      </c>
      <c r="B154">
        <v>86</v>
      </c>
    </row>
    <row r="155" spans="1:2" x14ac:dyDescent="0.35">
      <c r="A155" t="s">
        <v>20</v>
      </c>
      <c r="B155">
        <v>87</v>
      </c>
    </row>
    <row r="156" spans="1:2" x14ac:dyDescent="0.35">
      <c r="A156" t="s">
        <v>89</v>
      </c>
      <c r="B156">
        <v>87</v>
      </c>
    </row>
    <row r="157" spans="1:2" x14ac:dyDescent="0.35">
      <c r="A157" t="s">
        <v>178</v>
      </c>
      <c r="B157">
        <v>87</v>
      </c>
    </row>
    <row r="158" spans="1:2" x14ac:dyDescent="0.35">
      <c r="A158" t="s">
        <v>179</v>
      </c>
      <c r="B158">
        <v>87</v>
      </c>
    </row>
    <row r="159" spans="1:2" x14ac:dyDescent="0.35">
      <c r="A159" t="s">
        <v>14</v>
      </c>
      <c r="B159">
        <v>88</v>
      </c>
    </row>
    <row r="160" spans="1:2" x14ac:dyDescent="0.35">
      <c r="A160" t="s">
        <v>112</v>
      </c>
      <c r="B160">
        <v>88</v>
      </c>
    </row>
    <row r="161" spans="1:2" x14ac:dyDescent="0.35">
      <c r="A161" t="s">
        <v>139</v>
      </c>
      <c r="B161">
        <v>89</v>
      </c>
    </row>
    <row r="162" spans="1:2" x14ac:dyDescent="0.35">
      <c r="A162" t="s">
        <v>54</v>
      </c>
      <c r="B162">
        <v>90</v>
      </c>
    </row>
    <row r="163" spans="1:2" x14ac:dyDescent="0.35">
      <c r="A163" t="s">
        <v>174</v>
      </c>
      <c r="B163">
        <v>90</v>
      </c>
    </row>
    <row r="164" spans="1:2" x14ac:dyDescent="0.35">
      <c r="A164" t="s">
        <v>226</v>
      </c>
      <c r="B164">
        <v>90</v>
      </c>
    </row>
    <row r="165" spans="1:2" x14ac:dyDescent="0.35">
      <c r="A165" t="s">
        <v>121</v>
      </c>
      <c r="B165">
        <v>91</v>
      </c>
    </row>
    <row r="166" spans="1:2" x14ac:dyDescent="0.35">
      <c r="A166" t="s">
        <v>186</v>
      </c>
      <c r="B166">
        <v>92</v>
      </c>
    </row>
    <row r="167" spans="1:2" x14ac:dyDescent="0.35">
      <c r="A167" t="s">
        <v>5</v>
      </c>
      <c r="B167">
        <v>93</v>
      </c>
    </row>
    <row r="168" spans="1:2" x14ac:dyDescent="0.35">
      <c r="A168" t="s">
        <v>78</v>
      </c>
      <c r="B168">
        <v>93</v>
      </c>
    </row>
    <row r="169" spans="1:2" x14ac:dyDescent="0.35">
      <c r="A169" t="s">
        <v>149</v>
      </c>
      <c r="B169">
        <v>93</v>
      </c>
    </row>
    <row r="170" spans="1:2" x14ac:dyDescent="0.35">
      <c r="A170" t="s">
        <v>221</v>
      </c>
      <c r="B170">
        <v>93</v>
      </c>
    </row>
    <row r="171" spans="1:2" x14ac:dyDescent="0.35">
      <c r="A171" t="s">
        <v>169</v>
      </c>
      <c r="B171">
        <v>94</v>
      </c>
    </row>
    <row r="172" spans="1:2" x14ac:dyDescent="0.35">
      <c r="A172" t="s">
        <v>213</v>
      </c>
      <c r="B172">
        <v>94</v>
      </c>
    </row>
    <row r="173" spans="1:2" x14ac:dyDescent="0.35">
      <c r="A173" t="s">
        <v>50</v>
      </c>
      <c r="B173">
        <v>95</v>
      </c>
    </row>
    <row r="174" spans="1:2" x14ac:dyDescent="0.35">
      <c r="A174" t="s">
        <v>200</v>
      </c>
      <c r="B174">
        <v>95</v>
      </c>
    </row>
    <row r="175" spans="1:2" x14ac:dyDescent="0.35">
      <c r="A175" t="s">
        <v>171</v>
      </c>
      <c r="B175">
        <v>96</v>
      </c>
    </row>
    <row r="176" spans="1:2" x14ac:dyDescent="0.35">
      <c r="A176" t="s">
        <v>124</v>
      </c>
      <c r="B176">
        <v>97</v>
      </c>
    </row>
    <row r="177" spans="1:2" x14ac:dyDescent="0.35">
      <c r="A177" t="s">
        <v>130</v>
      </c>
      <c r="B177">
        <v>97</v>
      </c>
    </row>
    <row r="178" spans="1:2" x14ac:dyDescent="0.35">
      <c r="A178" t="s">
        <v>163</v>
      </c>
      <c r="B178">
        <v>98</v>
      </c>
    </row>
    <row r="179" spans="1:2" x14ac:dyDescent="0.35">
      <c r="A179" t="s">
        <v>107</v>
      </c>
      <c r="B179">
        <v>100</v>
      </c>
    </row>
    <row r="180" spans="1:2" x14ac:dyDescent="0.35">
      <c r="A180" t="s">
        <v>167</v>
      </c>
      <c r="B180">
        <v>100</v>
      </c>
    </row>
    <row r="181" spans="1:2" x14ac:dyDescent="0.35">
      <c r="A181" t="s">
        <v>92</v>
      </c>
      <c r="B181">
        <v>101</v>
      </c>
    </row>
    <row r="182" spans="1:2" x14ac:dyDescent="0.35">
      <c r="A182" t="s">
        <v>185</v>
      </c>
      <c r="B182">
        <v>101</v>
      </c>
    </row>
    <row r="183" spans="1:2" x14ac:dyDescent="0.35">
      <c r="A183" t="s">
        <v>222</v>
      </c>
      <c r="B183">
        <v>101</v>
      </c>
    </row>
    <row r="184" spans="1:2" x14ac:dyDescent="0.35">
      <c r="A184" t="s">
        <v>175</v>
      </c>
      <c r="B184">
        <v>102</v>
      </c>
    </row>
    <row r="185" spans="1:2" x14ac:dyDescent="0.35">
      <c r="A185" t="s">
        <v>57</v>
      </c>
      <c r="B185">
        <v>103</v>
      </c>
    </row>
    <row r="186" spans="1:2" x14ac:dyDescent="0.35">
      <c r="A186" t="s">
        <v>119</v>
      </c>
      <c r="B186">
        <v>103</v>
      </c>
    </row>
    <row r="187" spans="1:2" x14ac:dyDescent="0.35">
      <c r="A187" t="s">
        <v>141</v>
      </c>
      <c r="B187">
        <v>103</v>
      </c>
    </row>
    <row r="188" spans="1:2" x14ac:dyDescent="0.35">
      <c r="A188" t="s">
        <v>151</v>
      </c>
      <c r="B188">
        <v>103</v>
      </c>
    </row>
    <row r="189" spans="1:2" x14ac:dyDescent="0.35">
      <c r="A189" t="s">
        <v>153</v>
      </c>
      <c r="B189">
        <v>104</v>
      </c>
    </row>
    <row r="190" spans="1:2" x14ac:dyDescent="0.35">
      <c r="A190" t="s">
        <v>172</v>
      </c>
      <c r="B190">
        <v>104</v>
      </c>
    </row>
    <row r="191" spans="1:2" x14ac:dyDescent="0.35">
      <c r="A191" t="s">
        <v>227</v>
      </c>
      <c r="B191">
        <v>105</v>
      </c>
    </row>
    <row r="192" spans="1:2" x14ac:dyDescent="0.35">
      <c r="A192" t="s">
        <v>10</v>
      </c>
      <c r="B192">
        <v>106</v>
      </c>
    </row>
    <row r="193" spans="1:2" x14ac:dyDescent="0.35">
      <c r="A193" t="s">
        <v>126</v>
      </c>
      <c r="B193">
        <v>106</v>
      </c>
    </row>
    <row r="194" spans="1:2" x14ac:dyDescent="0.35">
      <c r="A194" t="s">
        <v>148</v>
      </c>
      <c r="B194">
        <v>106</v>
      </c>
    </row>
    <row r="195" spans="1:2" x14ac:dyDescent="0.35">
      <c r="A195" t="s">
        <v>202</v>
      </c>
      <c r="B195">
        <v>106</v>
      </c>
    </row>
    <row r="196" spans="1:2" x14ac:dyDescent="0.35">
      <c r="A196" t="s">
        <v>34</v>
      </c>
      <c r="B196">
        <v>107</v>
      </c>
    </row>
    <row r="197" spans="1:2" x14ac:dyDescent="0.35">
      <c r="A197" t="s">
        <v>67</v>
      </c>
      <c r="B197">
        <v>108</v>
      </c>
    </row>
    <row r="198" spans="1:2" x14ac:dyDescent="0.35">
      <c r="A198" t="s">
        <v>127</v>
      </c>
      <c r="B198">
        <v>108</v>
      </c>
    </row>
    <row r="199" spans="1:2" x14ac:dyDescent="0.35">
      <c r="A199" t="s">
        <v>132</v>
      </c>
      <c r="B199">
        <v>108</v>
      </c>
    </row>
    <row r="200" spans="1:2" x14ac:dyDescent="0.35">
      <c r="A200" t="s">
        <v>204</v>
      </c>
      <c r="B200">
        <v>108</v>
      </c>
    </row>
    <row r="201" spans="1:2" x14ac:dyDescent="0.35">
      <c r="A201" t="s">
        <v>39</v>
      </c>
      <c r="B201">
        <v>109</v>
      </c>
    </row>
    <row r="202" spans="1:2" x14ac:dyDescent="0.35">
      <c r="A202" t="s">
        <v>199</v>
      </c>
      <c r="B202">
        <v>109</v>
      </c>
    </row>
    <row r="203" spans="1:2" x14ac:dyDescent="0.35">
      <c r="A203" t="s">
        <v>214</v>
      </c>
      <c r="B203">
        <v>109</v>
      </c>
    </row>
    <row r="204" spans="1:2" x14ac:dyDescent="0.35">
      <c r="A204" t="s">
        <v>195</v>
      </c>
      <c r="B204">
        <v>110</v>
      </c>
    </row>
    <row r="205" spans="1:2" x14ac:dyDescent="0.35">
      <c r="A205" t="s">
        <v>230</v>
      </c>
      <c r="B205">
        <v>110</v>
      </c>
    </row>
    <row r="206" spans="1:2" x14ac:dyDescent="0.35">
      <c r="A206" t="s">
        <v>191</v>
      </c>
      <c r="B206">
        <v>111</v>
      </c>
    </row>
    <row r="207" spans="1:2" x14ac:dyDescent="0.35">
      <c r="A207" t="s">
        <v>206</v>
      </c>
      <c r="B207">
        <v>111</v>
      </c>
    </row>
    <row r="208" spans="1:2" x14ac:dyDescent="0.35">
      <c r="A208" t="s">
        <v>19</v>
      </c>
      <c r="B208">
        <v>112</v>
      </c>
    </row>
    <row r="209" spans="1:2" x14ac:dyDescent="0.35">
      <c r="A209" t="s">
        <v>215</v>
      </c>
      <c r="B209">
        <v>112</v>
      </c>
    </row>
    <row r="210" spans="1:2" x14ac:dyDescent="0.35">
      <c r="A210" t="s">
        <v>231</v>
      </c>
      <c r="B210">
        <v>112</v>
      </c>
    </row>
    <row r="211" spans="1:2" x14ac:dyDescent="0.35">
      <c r="A211" t="s">
        <v>207</v>
      </c>
      <c r="B211">
        <v>113</v>
      </c>
    </row>
    <row r="212" spans="1:2" x14ac:dyDescent="0.35">
      <c r="A212" t="s">
        <v>216</v>
      </c>
      <c r="B212">
        <v>113</v>
      </c>
    </row>
    <row r="213" spans="1:2" x14ac:dyDescent="0.35">
      <c r="A213" t="s">
        <v>234</v>
      </c>
      <c r="B213">
        <v>113</v>
      </c>
    </row>
    <row r="214" spans="1:2" x14ac:dyDescent="0.35">
      <c r="A214" t="s">
        <v>145</v>
      </c>
      <c r="B214">
        <v>114</v>
      </c>
    </row>
    <row r="215" spans="1:2" x14ac:dyDescent="0.35">
      <c r="A215" t="s">
        <v>218</v>
      </c>
      <c r="B215">
        <v>114</v>
      </c>
    </row>
    <row r="216" spans="1:2" x14ac:dyDescent="0.35">
      <c r="A216" t="s">
        <v>71</v>
      </c>
      <c r="B216">
        <v>115</v>
      </c>
    </row>
    <row r="217" spans="1:2" x14ac:dyDescent="0.35">
      <c r="A217" t="s">
        <v>106</v>
      </c>
      <c r="B217">
        <v>115</v>
      </c>
    </row>
    <row r="218" spans="1:2" x14ac:dyDescent="0.35">
      <c r="A218" t="s">
        <v>152</v>
      </c>
      <c r="B218">
        <v>115</v>
      </c>
    </row>
    <row r="219" spans="1:2" x14ac:dyDescent="0.35">
      <c r="A219" t="s">
        <v>27</v>
      </c>
      <c r="B219">
        <v>116</v>
      </c>
    </row>
    <row r="220" spans="1:2" x14ac:dyDescent="0.35">
      <c r="A220" t="s">
        <v>88</v>
      </c>
      <c r="B220">
        <v>116</v>
      </c>
    </row>
    <row r="221" spans="1:2" x14ac:dyDescent="0.35">
      <c r="A221" t="s">
        <v>113</v>
      </c>
      <c r="B221">
        <v>116</v>
      </c>
    </row>
    <row r="222" spans="1:2" x14ac:dyDescent="0.35">
      <c r="A222" t="s">
        <v>46</v>
      </c>
      <c r="B222">
        <v>117</v>
      </c>
    </row>
    <row r="223" spans="1:2" x14ac:dyDescent="0.35">
      <c r="A223" t="s">
        <v>142</v>
      </c>
      <c r="B223">
        <v>117</v>
      </c>
    </row>
    <row r="224" spans="1:2" x14ac:dyDescent="0.35">
      <c r="A224" t="s">
        <v>11</v>
      </c>
      <c r="B224">
        <v>118</v>
      </c>
    </row>
    <row r="225" spans="1:2" x14ac:dyDescent="0.35">
      <c r="A225" t="s">
        <v>123</v>
      </c>
      <c r="B225">
        <v>118</v>
      </c>
    </row>
    <row r="226" spans="1:2" x14ac:dyDescent="0.35">
      <c r="A226" t="s">
        <v>16</v>
      </c>
      <c r="B226">
        <v>119</v>
      </c>
    </row>
    <row r="227" spans="1:2" x14ac:dyDescent="0.35">
      <c r="A227" t="s">
        <v>37</v>
      </c>
      <c r="B227">
        <v>119</v>
      </c>
    </row>
    <row r="228" spans="1:2" x14ac:dyDescent="0.35">
      <c r="A228" t="s">
        <v>45</v>
      </c>
      <c r="B228">
        <v>119</v>
      </c>
    </row>
    <row r="229" spans="1:2" x14ac:dyDescent="0.35">
      <c r="A229" t="s">
        <v>95</v>
      </c>
      <c r="B229">
        <v>119</v>
      </c>
    </row>
    <row r="230" spans="1:2" x14ac:dyDescent="0.35">
      <c r="A230" t="s">
        <v>183</v>
      </c>
      <c r="B230">
        <v>119</v>
      </c>
    </row>
    <row r="231" spans="1:2" x14ac:dyDescent="0.35">
      <c r="A231" t="s">
        <v>13</v>
      </c>
      <c r="B231">
        <v>120</v>
      </c>
    </row>
    <row r="232" spans="1:2" x14ac:dyDescent="0.35">
      <c r="A232" t="s">
        <v>25</v>
      </c>
      <c r="B232">
        <v>120</v>
      </c>
    </row>
    <row r="233" spans="1:2" x14ac:dyDescent="0.35">
      <c r="A233" t="s">
        <v>36</v>
      </c>
      <c r="B233">
        <v>120</v>
      </c>
    </row>
    <row r="234" spans="1:2" x14ac:dyDescent="0.35">
      <c r="A234" t="s">
        <v>58</v>
      </c>
      <c r="B234">
        <v>120</v>
      </c>
    </row>
    <row r="235" spans="1:2" x14ac:dyDescent="0.35">
      <c r="A235" t="s">
        <v>79</v>
      </c>
      <c r="B235">
        <v>120</v>
      </c>
    </row>
  </sheetData>
  <mergeCells count="1">
    <mergeCell ref="H9:J9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2188-9D54-43A8-A8DE-81F263DA0DD5}">
  <dimension ref="A1:P235"/>
  <sheetViews>
    <sheetView tabSelected="1" zoomScale="85" zoomScaleNormal="85" workbookViewId="0">
      <selection activeCell="Q32" sqref="Q32"/>
    </sheetView>
  </sheetViews>
  <sheetFormatPr defaultRowHeight="14.5" x14ac:dyDescent="0.35"/>
  <cols>
    <col min="1" max="1" width="26" bestFit="1" customWidth="1"/>
    <col min="2" max="2" width="15.54296875" bestFit="1" customWidth="1"/>
    <col min="5" max="5" width="11.26953125" bestFit="1" customWidth="1"/>
    <col min="10" max="10" width="10.26953125" bestFit="1" customWidth="1"/>
    <col min="12" max="12" width="13.81640625" bestFit="1" customWidth="1"/>
  </cols>
  <sheetData>
    <row r="1" spans="1:16" x14ac:dyDescent="0.35">
      <c r="A1" t="s">
        <v>0</v>
      </c>
      <c r="B1" t="s">
        <v>1</v>
      </c>
    </row>
    <row r="2" spans="1:16" ht="15" customHeight="1" x14ac:dyDescent="0.35">
      <c r="A2" t="s">
        <v>125</v>
      </c>
      <c r="B2">
        <v>30</v>
      </c>
      <c r="E2" s="2" t="s">
        <v>236</v>
      </c>
      <c r="F2" s="5">
        <f>AVERAGE(prezzi34[Prezzo Medio])</f>
        <v>73.5</v>
      </c>
      <c r="H2" s="2" t="s">
        <v>237</v>
      </c>
      <c r="I2" s="5">
        <f>MEDIAN(prezzi34[Prezzo Medio])</f>
        <v>73.5</v>
      </c>
      <c r="K2" s="4"/>
      <c r="L2" s="4"/>
      <c r="M2" s="4"/>
      <c r="N2" s="4"/>
      <c r="O2" s="4"/>
      <c r="P2" s="4"/>
    </row>
    <row r="3" spans="1:16" x14ac:dyDescent="0.35">
      <c r="A3" t="s">
        <v>134</v>
      </c>
      <c r="B3">
        <v>30</v>
      </c>
      <c r="K3" s="3"/>
      <c r="L3" s="3"/>
      <c r="M3" s="3"/>
      <c r="N3" s="3"/>
      <c r="O3" s="3"/>
      <c r="P3" s="3"/>
    </row>
    <row r="4" spans="1:16" x14ac:dyDescent="0.35">
      <c r="A4" t="s">
        <v>140</v>
      </c>
      <c r="B4">
        <v>30</v>
      </c>
      <c r="E4" s="2" t="s">
        <v>238</v>
      </c>
      <c r="F4" s="5" cm="1">
        <f t="array" ref="F4:F5">_xlfn.MODE.MULT(prezzi34[Prezzo Medio])</f>
        <v>75</v>
      </c>
      <c r="H4" s="2" t="s">
        <v>239</v>
      </c>
      <c r="I4" s="5">
        <f>_xlfn.VAR.P(prezzi34[Prezzo Medio])</f>
        <v>754.06196581196582</v>
      </c>
      <c r="K4" s="3"/>
      <c r="L4" s="3"/>
      <c r="M4" s="3"/>
      <c r="N4" s="3"/>
      <c r="O4" s="3"/>
      <c r="P4" s="3"/>
    </row>
    <row r="5" spans="1:16" x14ac:dyDescent="0.35">
      <c r="A5" t="s">
        <v>2</v>
      </c>
      <c r="B5">
        <v>31</v>
      </c>
      <c r="F5" s="5">
        <v>78</v>
      </c>
      <c r="K5" s="3"/>
      <c r="L5" s="3"/>
      <c r="M5" s="3"/>
      <c r="N5" s="3"/>
      <c r="O5" s="3"/>
      <c r="P5" s="3"/>
    </row>
    <row r="6" spans="1:16" x14ac:dyDescent="0.35">
      <c r="A6" t="s">
        <v>115</v>
      </c>
      <c r="B6">
        <v>31</v>
      </c>
      <c r="K6" s="3"/>
      <c r="L6" s="3"/>
      <c r="M6" s="3"/>
      <c r="N6" s="3"/>
      <c r="O6" s="3"/>
      <c r="P6" s="3"/>
    </row>
    <row r="7" spans="1:16" x14ac:dyDescent="0.35">
      <c r="A7" t="s">
        <v>166</v>
      </c>
      <c r="B7">
        <v>31</v>
      </c>
      <c r="E7" s="2" t="s">
        <v>240</v>
      </c>
      <c r="F7" s="5">
        <f>_xlfn.STDEV.P(prezzi34[Prezzo Medio])</f>
        <v>27.460188743196319</v>
      </c>
      <c r="H7" s="2" t="s">
        <v>241</v>
      </c>
      <c r="I7" s="5">
        <f>_xlfn.QUARTILE.INC(prezzi34[Prezzo Medio],3)-_xlfn.QUARTILE.INC(prezzi34[Prezzo Medio],1)</f>
        <v>46.75</v>
      </c>
      <c r="K7" s="3"/>
      <c r="L7" s="3"/>
      <c r="M7" s="3"/>
      <c r="N7" s="3"/>
      <c r="O7" s="3"/>
      <c r="P7" s="3"/>
    </row>
    <row r="8" spans="1:16" x14ac:dyDescent="0.35">
      <c r="A8" t="s">
        <v>168</v>
      </c>
      <c r="B8">
        <v>31</v>
      </c>
    </row>
    <row r="9" spans="1:16" x14ac:dyDescent="0.35">
      <c r="A9" t="s">
        <v>23</v>
      </c>
      <c r="B9">
        <v>32</v>
      </c>
      <c r="H9" s="7" t="s">
        <v>245</v>
      </c>
      <c r="I9" s="7"/>
      <c r="J9" s="7"/>
      <c r="L9" s="2" t="s">
        <v>249</v>
      </c>
      <c r="M9" s="6" t="s">
        <v>250</v>
      </c>
    </row>
    <row r="10" spans="1:16" x14ac:dyDescent="0.35">
      <c r="A10" t="s">
        <v>91</v>
      </c>
      <c r="B10">
        <v>32</v>
      </c>
      <c r="E10" s="2" t="s">
        <v>243</v>
      </c>
      <c r="F10" s="5">
        <f>MIN(prezzi34[Prezzo Medio])</f>
        <v>30</v>
      </c>
      <c r="H10" s="2" t="s">
        <v>247</v>
      </c>
      <c r="I10" s="2" t="s">
        <v>246</v>
      </c>
      <c r="J10" s="2" t="s">
        <v>248</v>
      </c>
    </row>
    <row r="11" spans="1:16" x14ac:dyDescent="0.35">
      <c r="A11" t="s">
        <v>114</v>
      </c>
      <c r="B11">
        <v>32</v>
      </c>
      <c r="E11" s="2" t="s">
        <v>244</v>
      </c>
      <c r="F11" s="5">
        <f>MAX(prezzi34[Prezzo Medio])</f>
        <v>120</v>
      </c>
      <c r="H11" s="1">
        <v>25</v>
      </c>
      <c r="I11" s="1">
        <v>45</v>
      </c>
      <c r="J11" s="5">
        <f>COUNTIFS(prezzi34[Prezzo Medio],"&gt;="&amp;H11,prezzi34[Prezzo Medio],"&lt;="&amp;I11)</f>
        <v>45</v>
      </c>
    </row>
    <row r="12" spans="1:16" x14ac:dyDescent="0.35">
      <c r="A12" t="s">
        <v>122</v>
      </c>
      <c r="B12">
        <v>32</v>
      </c>
      <c r="H12" s="1">
        <v>46</v>
      </c>
      <c r="I12" s="1">
        <v>65</v>
      </c>
      <c r="J12" s="5">
        <f>COUNTIFS(prezzi34[Prezzo Medio],"&gt;="&amp;H12,prezzi34[Prezzo Medio],"&lt;="&amp;I12)</f>
        <v>56</v>
      </c>
    </row>
    <row r="13" spans="1:16" x14ac:dyDescent="0.35">
      <c r="A13" t="s">
        <v>51</v>
      </c>
      <c r="B13">
        <v>33</v>
      </c>
      <c r="H13" s="1">
        <v>66</v>
      </c>
      <c r="I13" s="1">
        <v>85</v>
      </c>
      <c r="J13" s="5">
        <f>COUNTIFS(prezzi34[Prezzo Medio],"&gt;="&amp;H13,prezzi34[Prezzo Medio],"&lt;="&amp;I13)</f>
        <v>50</v>
      </c>
    </row>
    <row r="14" spans="1:16" x14ac:dyDescent="0.35">
      <c r="A14" t="s">
        <v>81</v>
      </c>
      <c r="B14">
        <v>33</v>
      </c>
      <c r="H14" s="1">
        <v>86</v>
      </c>
      <c r="I14" s="1">
        <v>105</v>
      </c>
      <c r="J14" s="5">
        <f>COUNTIFS(prezzi34[Prezzo Medio],"&gt;="&amp;H14,prezzi34[Prezzo Medio],"&lt;="&amp;I14)</f>
        <v>39</v>
      </c>
    </row>
    <row r="15" spans="1:16" x14ac:dyDescent="0.35">
      <c r="A15" t="s">
        <v>111</v>
      </c>
      <c r="B15">
        <v>33</v>
      </c>
      <c r="H15" s="1">
        <v>106</v>
      </c>
      <c r="I15" s="1">
        <v>125</v>
      </c>
      <c r="J15" s="5">
        <f>COUNTIFS(prezzi34[Prezzo Medio],"&gt;="&amp;H15,prezzi34[Prezzo Medio],"&lt;="&amp;I15)</f>
        <v>44</v>
      </c>
    </row>
    <row r="16" spans="1:16" x14ac:dyDescent="0.35">
      <c r="A16" t="s">
        <v>194</v>
      </c>
      <c r="B16">
        <v>33</v>
      </c>
    </row>
    <row r="17" spans="1:12" ht="15" thickBot="1" x14ac:dyDescent="0.4">
      <c r="A17" t="s">
        <v>210</v>
      </c>
      <c r="B17">
        <v>33</v>
      </c>
    </row>
    <row r="18" spans="1:12" x14ac:dyDescent="0.35">
      <c r="A18" t="s">
        <v>56</v>
      </c>
      <c r="B18">
        <v>34</v>
      </c>
      <c r="E18" s="8" t="s">
        <v>253</v>
      </c>
      <c r="F18" s="8"/>
      <c r="I18" s="9" t="s">
        <v>256</v>
      </c>
      <c r="J18" s="10"/>
      <c r="K18" s="10"/>
      <c r="L18" s="11"/>
    </row>
    <row r="19" spans="1:12" x14ac:dyDescent="0.35">
      <c r="A19" t="s">
        <v>62</v>
      </c>
      <c r="B19">
        <v>34</v>
      </c>
      <c r="E19" s="2" t="s">
        <v>251</v>
      </c>
      <c r="F19" s="5">
        <f>_xlfn.QUARTILE.INC(prezzi34[Prezzo Medio],1)</f>
        <v>50.25</v>
      </c>
      <c r="I19" s="12"/>
      <c r="J19" s="13"/>
      <c r="K19" s="13"/>
      <c r="L19" s="14"/>
    </row>
    <row r="20" spans="1:12" x14ac:dyDescent="0.35">
      <c r="A20" t="s">
        <v>76</v>
      </c>
      <c r="B20">
        <v>34</v>
      </c>
      <c r="E20" s="2" t="s">
        <v>252</v>
      </c>
      <c r="F20" s="5">
        <f>_xlfn.QUARTILE.INC(prezzi34[Prezzo Medio],3)</f>
        <v>97</v>
      </c>
      <c r="I20" s="12"/>
      <c r="J20" s="13"/>
      <c r="K20" s="13"/>
      <c r="L20" s="14"/>
    </row>
    <row r="21" spans="1:12" x14ac:dyDescent="0.35">
      <c r="A21" t="s">
        <v>190</v>
      </c>
      <c r="B21">
        <v>34</v>
      </c>
      <c r="E21" s="2" t="s">
        <v>241</v>
      </c>
      <c r="F21" s="5">
        <f>F20-F19</f>
        <v>46.75</v>
      </c>
      <c r="I21" s="12"/>
      <c r="J21" s="13"/>
      <c r="K21" s="13"/>
      <c r="L21" s="14"/>
    </row>
    <row r="22" spans="1:12" x14ac:dyDescent="0.35">
      <c r="A22" t="s">
        <v>40</v>
      </c>
      <c r="B22">
        <v>35</v>
      </c>
      <c r="I22" s="12"/>
      <c r="J22" s="13"/>
      <c r="K22" s="13"/>
      <c r="L22" s="14"/>
    </row>
    <row r="23" spans="1:12" x14ac:dyDescent="0.35">
      <c r="A23" t="s">
        <v>133</v>
      </c>
      <c r="B23">
        <v>35</v>
      </c>
      <c r="E23" s="2" t="s">
        <v>254</v>
      </c>
      <c r="F23" s="5">
        <f>F19-1.5*F21</f>
        <v>-19.875</v>
      </c>
      <c r="I23" s="12"/>
      <c r="J23" s="13"/>
      <c r="K23" s="13"/>
      <c r="L23" s="14"/>
    </row>
    <row r="24" spans="1:12" ht="15" thickBot="1" x14ac:dyDescent="0.4">
      <c r="A24" t="s">
        <v>12</v>
      </c>
      <c r="B24">
        <v>36</v>
      </c>
      <c r="E24" s="2" t="s">
        <v>255</v>
      </c>
      <c r="F24" s="5">
        <f>F20+1.5*F21</f>
        <v>167.125</v>
      </c>
      <c r="I24" s="15"/>
      <c r="J24" s="16"/>
      <c r="K24" s="16"/>
      <c r="L24" s="17"/>
    </row>
    <row r="25" spans="1:12" x14ac:dyDescent="0.35">
      <c r="A25" t="s">
        <v>22</v>
      </c>
      <c r="B25">
        <v>36</v>
      </c>
    </row>
    <row r="26" spans="1:12" x14ac:dyDescent="0.35">
      <c r="A26" t="s">
        <v>162</v>
      </c>
      <c r="B26">
        <v>36</v>
      </c>
    </row>
    <row r="27" spans="1:12" x14ac:dyDescent="0.35">
      <c r="A27" t="s">
        <v>68</v>
      </c>
      <c r="B27">
        <v>37</v>
      </c>
    </row>
    <row r="28" spans="1:12" x14ac:dyDescent="0.35">
      <c r="A28" t="s">
        <v>85</v>
      </c>
      <c r="B28">
        <v>37</v>
      </c>
    </row>
    <row r="29" spans="1:12" x14ac:dyDescent="0.35">
      <c r="A29" t="s">
        <v>53</v>
      </c>
      <c r="B29">
        <v>38</v>
      </c>
    </row>
    <row r="30" spans="1:12" x14ac:dyDescent="0.35">
      <c r="A30" t="s">
        <v>94</v>
      </c>
      <c r="B30">
        <v>38</v>
      </c>
    </row>
    <row r="31" spans="1:12" x14ac:dyDescent="0.35">
      <c r="A31" t="s">
        <v>160</v>
      </c>
      <c r="B31">
        <v>38</v>
      </c>
    </row>
    <row r="32" spans="1:12" x14ac:dyDescent="0.35">
      <c r="A32" t="s">
        <v>26</v>
      </c>
      <c r="B32">
        <v>39</v>
      </c>
    </row>
    <row r="33" spans="1:2" x14ac:dyDescent="0.35">
      <c r="A33" t="s">
        <v>43</v>
      </c>
      <c r="B33">
        <v>39</v>
      </c>
    </row>
    <row r="34" spans="1:2" x14ac:dyDescent="0.35">
      <c r="A34" t="s">
        <v>60</v>
      </c>
      <c r="B34">
        <v>39</v>
      </c>
    </row>
    <row r="35" spans="1:2" x14ac:dyDescent="0.35">
      <c r="A35" t="s">
        <v>74</v>
      </c>
      <c r="B35">
        <v>39</v>
      </c>
    </row>
    <row r="36" spans="1:2" x14ac:dyDescent="0.35">
      <c r="A36" t="s">
        <v>146</v>
      </c>
      <c r="B36">
        <v>39</v>
      </c>
    </row>
    <row r="37" spans="1:2" x14ac:dyDescent="0.35">
      <c r="A37" t="s">
        <v>75</v>
      </c>
      <c r="B37">
        <v>40</v>
      </c>
    </row>
    <row r="38" spans="1:2" x14ac:dyDescent="0.35">
      <c r="A38" t="s">
        <v>118</v>
      </c>
      <c r="B38">
        <v>40</v>
      </c>
    </row>
    <row r="39" spans="1:2" x14ac:dyDescent="0.35">
      <c r="A39" t="s">
        <v>83</v>
      </c>
      <c r="B39">
        <v>41</v>
      </c>
    </row>
    <row r="40" spans="1:2" x14ac:dyDescent="0.35">
      <c r="A40" t="s">
        <v>110</v>
      </c>
      <c r="B40">
        <v>42</v>
      </c>
    </row>
    <row r="41" spans="1:2" x14ac:dyDescent="0.35">
      <c r="A41" t="s">
        <v>201</v>
      </c>
      <c r="B41">
        <v>42</v>
      </c>
    </row>
    <row r="42" spans="1:2" x14ac:dyDescent="0.35">
      <c r="A42" t="s">
        <v>65</v>
      </c>
      <c r="B42">
        <v>43</v>
      </c>
    </row>
    <row r="43" spans="1:2" x14ac:dyDescent="0.35">
      <c r="A43" t="s">
        <v>219</v>
      </c>
      <c r="B43">
        <v>43</v>
      </c>
    </row>
    <row r="44" spans="1:2" x14ac:dyDescent="0.35">
      <c r="A44" t="s">
        <v>109</v>
      </c>
      <c r="B44">
        <v>44</v>
      </c>
    </row>
    <row r="45" spans="1:2" x14ac:dyDescent="0.35">
      <c r="A45" t="s">
        <v>189</v>
      </c>
      <c r="B45">
        <v>44</v>
      </c>
    </row>
    <row r="46" spans="1:2" x14ac:dyDescent="0.35">
      <c r="A46" t="s">
        <v>170</v>
      </c>
      <c r="B46">
        <v>45</v>
      </c>
    </row>
    <row r="47" spans="1:2" x14ac:dyDescent="0.35">
      <c r="A47" t="s">
        <v>21</v>
      </c>
      <c r="B47">
        <v>46</v>
      </c>
    </row>
    <row r="48" spans="1:2" x14ac:dyDescent="0.35">
      <c r="A48" t="s">
        <v>29</v>
      </c>
      <c r="B48">
        <v>46</v>
      </c>
    </row>
    <row r="49" spans="1:2" x14ac:dyDescent="0.35">
      <c r="A49" t="s">
        <v>138</v>
      </c>
      <c r="B49">
        <v>46</v>
      </c>
    </row>
    <row r="50" spans="1:2" x14ac:dyDescent="0.35">
      <c r="A50" t="s">
        <v>150</v>
      </c>
      <c r="B50">
        <v>46</v>
      </c>
    </row>
    <row r="51" spans="1:2" x14ac:dyDescent="0.35">
      <c r="A51" t="s">
        <v>205</v>
      </c>
      <c r="B51">
        <v>47</v>
      </c>
    </row>
    <row r="52" spans="1:2" x14ac:dyDescent="0.35">
      <c r="A52" t="s">
        <v>31</v>
      </c>
      <c r="B52">
        <v>48</v>
      </c>
    </row>
    <row r="53" spans="1:2" x14ac:dyDescent="0.35">
      <c r="A53" t="s">
        <v>7</v>
      </c>
      <c r="B53">
        <v>49</v>
      </c>
    </row>
    <row r="54" spans="1:2" x14ac:dyDescent="0.35">
      <c r="A54" t="s">
        <v>35</v>
      </c>
      <c r="B54">
        <v>49</v>
      </c>
    </row>
    <row r="55" spans="1:2" x14ac:dyDescent="0.35">
      <c r="A55" t="s">
        <v>63</v>
      </c>
      <c r="B55">
        <v>49</v>
      </c>
    </row>
    <row r="56" spans="1:2" x14ac:dyDescent="0.35">
      <c r="A56" t="s">
        <v>105</v>
      </c>
      <c r="B56">
        <v>49</v>
      </c>
    </row>
    <row r="57" spans="1:2" x14ac:dyDescent="0.35">
      <c r="A57" t="s">
        <v>135</v>
      </c>
      <c r="B57">
        <v>49</v>
      </c>
    </row>
    <row r="58" spans="1:2" x14ac:dyDescent="0.35">
      <c r="A58" t="s">
        <v>104</v>
      </c>
      <c r="B58">
        <v>50</v>
      </c>
    </row>
    <row r="59" spans="1:2" x14ac:dyDescent="0.35">
      <c r="A59" t="s">
        <v>108</v>
      </c>
      <c r="B59">
        <v>50</v>
      </c>
    </row>
    <row r="60" spans="1:2" x14ac:dyDescent="0.35">
      <c r="A60" t="s">
        <v>235</v>
      </c>
      <c r="B60">
        <v>50</v>
      </c>
    </row>
    <row r="61" spans="1:2" x14ac:dyDescent="0.35">
      <c r="A61" t="s">
        <v>32</v>
      </c>
      <c r="B61">
        <v>51</v>
      </c>
    </row>
    <row r="62" spans="1:2" x14ac:dyDescent="0.35">
      <c r="A62" t="s">
        <v>103</v>
      </c>
      <c r="B62">
        <v>51</v>
      </c>
    </row>
    <row r="63" spans="1:2" x14ac:dyDescent="0.35">
      <c r="A63" t="s">
        <v>203</v>
      </c>
      <c r="B63">
        <v>51</v>
      </c>
    </row>
    <row r="64" spans="1:2" x14ac:dyDescent="0.35">
      <c r="A64" t="s">
        <v>17</v>
      </c>
      <c r="B64">
        <v>52</v>
      </c>
    </row>
    <row r="65" spans="1:2" x14ac:dyDescent="0.35">
      <c r="A65" t="s">
        <v>64</v>
      </c>
      <c r="B65">
        <v>52</v>
      </c>
    </row>
    <row r="66" spans="1:2" x14ac:dyDescent="0.35">
      <c r="A66" t="s">
        <v>72</v>
      </c>
      <c r="B66">
        <v>52</v>
      </c>
    </row>
    <row r="67" spans="1:2" x14ac:dyDescent="0.35">
      <c r="A67" t="s">
        <v>187</v>
      </c>
      <c r="B67">
        <v>52</v>
      </c>
    </row>
    <row r="68" spans="1:2" x14ac:dyDescent="0.35">
      <c r="A68" t="s">
        <v>128</v>
      </c>
      <c r="B68">
        <v>53</v>
      </c>
    </row>
    <row r="69" spans="1:2" x14ac:dyDescent="0.35">
      <c r="A69" t="s">
        <v>143</v>
      </c>
      <c r="B69">
        <v>53</v>
      </c>
    </row>
    <row r="70" spans="1:2" x14ac:dyDescent="0.35">
      <c r="A70" t="s">
        <v>224</v>
      </c>
      <c r="B70">
        <v>53</v>
      </c>
    </row>
    <row r="71" spans="1:2" x14ac:dyDescent="0.35">
      <c r="A71" t="s">
        <v>100</v>
      </c>
      <c r="B71">
        <v>54</v>
      </c>
    </row>
    <row r="72" spans="1:2" x14ac:dyDescent="0.35">
      <c r="A72" t="s">
        <v>102</v>
      </c>
      <c r="B72">
        <v>54</v>
      </c>
    </row>
    <row r="73" spans="1:2" x14ac:dyDescent="0.35">
      <c r="A73" t="s">
        <v>188</v>
      </c>
      <c r="B73">
        <v>54</v>
      </c>
    </row>
    <row r="74" spans="1:2" x14ac:dyDescent="0.35">
      <c r="A74" t="s">
        <v>232</v>
      </c>
      <c r="B74">
        <v>54</v>
      </c>
    </row>
    <row r="75" spans="1:2" x14ac:dyDescent="0.35">
      <c r="A75" t="s">
        <v>66</v>
      </c>
      <c r="B75">
        <v>55</v>
      </c>
    </row>
    <row r="76" spans="1:2" x14ac:dyDescent="0.35">
      <c r="A76" t="s">
        <v>47</v>
      </c>
      <c r="B76">
        <v>56</v>
      </c>
    </row>
    <row r="77" spans="1:2" x14ac:dyDescent="0.35">
      <c r="A77" t="s">
        <v>52</v>
      </c>
      <c r="B77">
        <v>56</v>
      </c>
    </row>
    <row r="78" spans="1:2" x14ac:dyDescent="0.35">
      <c r="A78" t="s">
        <v>177</v>
      </c>
      <c r="B78">
        <v>56</v>
      </c>
    </row>
    <row r="79" spans="1:2" x14ac:dyDescent="0.35">
      <c r="A79" t="s">
        <v>98</v>
      </c>
      <c r="B79">
        <v>57</v>
      </c>
    </row>
    <row r="80" spans="1:2" x14ac:dyDescent="0.35">
      <c r="A80" t="s">
        <v>129</v>
      </c>
      <c r="B80">
        <v>57</v>
      </c>
    </row>
    <row r="81" spans="1:2" x14ac:dyDescent="0.35">
      <c r="A81" t="s">
        <v>209</v>
      </c>
      <c r="B81">
        <v>57</v>
      </c>
    </row>
    <row r="82" spans="1:2" x14ac:dyDescent="0.35">
      <c r="A82" t="s">
        <v>8</v>
      </c>
      <c r="B82">
        <v>58</v>
      </c>
    </row>
    <row r="83" spans="1:2" x14ac:dyDescent="0.35">
      <c r="A83" t="s">
        <v>44</v>
      </c>
      <c r="B83">
        <v>58</v>
      </c>
    </row>
    <row r="84" spans="1:2" x14ac:dyDescent="0.35">
      <c r="A84" t="s">
        <v>84</v>
      </c>
      <c r="B84">
        <v>58</v>
      </c>
    </row>
    <row r="85" spans="1:2" x14ac:dyDescent="0.35">
      <c r="A85" t="s">
        <v>137</v>
      </c>
      <c r="B85">
        <v>58</v>
      </c>
    </row>
    <row r="86" spans="1:2" x14ac:dyDescent="0.35">
      <c r="A86" t="s">
        <v>93</v>
      </c>
      <c r="B86">
        <v>59</v>
      </c>
    </row>
    <row r="87" spans="1:2" x14ac:dyDescent="0.35">
      <c r="A87" t="s">
        <v>101</v>
      </c>
      <c r="B87">
        <v>59</v>
      </c>
    </row>
    <row r="88" spans="1:2" x14ac:dyDescent="0.35">
      <c r="A88" t="s">
        <v>136</v>
      </c>
      <c r="B88">
        <v>59</v>
      </c>
    </row>
    <row r="89" spans="1:2" x14ac:dyDescent="0.35">
      <c r="A89" t="s">
        <v>77</v>
      </c>
      <c r="B89">
        <v>60</v>
      </c>
    </row>
    <row r="90" spans="1:2" x14ac:dyDescent="0.35">
      <c r="A90" t="s">
        <v>33</v>
      </c>
      <c r="B90">
        <v>61</v>
      </c>
    </row>
    <row r="91" spans="1:2" x14ac:dyDescent="0.35">
      <c r="A91" t="s">
        <v>97</v>
      </c>
      <c r="B91">
        <v>61</v>
      </c>
    </row>
    <row r="92" spans="1:2" x14ac:dyDescent="0.35">
      <c r="A92" t="s">
        <v>164</v>
      </c>
      <c r="B92">
        <v>61</v>
      </c>
    </row>
    <row r="93" spans="1:2" x14ac:dyDescent="0.35">
      <c r="A93" t="s">
        <v>156</v>
      </c>
      <c r="B93">
        <v>62</v>
      </c>
    </row>
    <row r="94" spans="1:2" x14ac:dyDescent="0.35">
      <c r="A94" t="s">
        <v>211</v>
      </c>
      <c r="B94">
        <v>62</v>
      </c>
    </row>
    <row r="95" spans="1:2" x14ac:dyDescent="0.35">
      <c r="A95" t="s">
        <v>159</v>
      </c>
      <c r="B95">
        <v>63</v>
      </c>
    </row>
    <row r="96" spans="1:2" x14ac:dyDescent="0.35">
      <c r="A96" t="s">
        <v>9</v>
      </c>
      <c r="B96">
        <v>64</v>
      </c>
    </row>
    <row r="97" spans="1:2" x14ac:dyDescent="0.35">
      <c r="A97" t="s">
        <v>28</v>
      </c>
      <c r="B97">
        <v>64</v>
      </c>
    </row>
    <row r="98" spans="1:2" x14ac:dyDescent="0.35">
      <c r="A98" t="s">
        <v>157</v>
      </c>
      <c r="B98">
        <v>64</v>
      </c>
    </row>
    <row r="99" spans="1:2" x14ac:dyDescent="0.35">
      <c r="A99" t="s">
        <v>225</v>
      </c>
      <c r="B99">
        <v>64</v>
      </c>
    </row>
    <row r="100" spans="1:2" x14ac:dyDescent="0.35">
      <c r="A100" t="s">
        <v>69</v>
      </c>
      <c r="B100">
        <v>65</v>
      </c>
    </row>
    <row r="101" spans="1:2" x14ac:dyDescent="0.35">
      <c r="A101" t="s">
        <v>90</v>
      </c>
      <c r="B101">
        <v>65</v>
      </c>
    </row>
    <row r="102" spans="1:2" x14ac:dyDescent="0.35">
      <c r="A102" t="s">
        <v>173</v>
      </c>
      <c r="B102">
        <v>65</v>
      </c>
    </row>
    <row r="103" spans="1:2" x14ac:dyDescent="0.35">
      <c r="A103" t="s">
        <v>15</v>
      </c>
      <c r="B103">
        <v>66</v>
      </c>
    </row>
    <row r="104" spans="1:2" x14ac:dyDescent="0.35">
      <c r="A104" t="s">
        <v>55</v>
      </c>
      <c r="B104">
        <v>66</v>
      </c>
    </row>
    <row r="105" spans="1:2" x14ac:dyDescent="0.35">
      <c r="A105" t="s">
        <v>144</v>
      </c>
      <c r="B105">
        <v>66</v>
      </c>
    </row>
    <row r="106" spans="1:2" x14ac:dyDescent="0.35">
      <c r="A106" t="s">
        <v>158</v>
      </c>
      <c r="B106">
        <v>66</v>
      </c>
    </row>
    <row r="107" spans="1:2" x14ac:dyDescent="0.35">
      <c r="A107" t="s">
        <v>182</v>
      </c>
      <c r="B107">
        <v>67</v>
      </c>
    </row>
    <row r="108" spans="1:2" x14ac:dyDescent="0.35">
      <c r="A108" t="s">
        <v>86</v>
      </c>
      <c r="B108">
        <v>68</v>
      </c>
    </row>
    <row r="109" spans="1:2" x14ac:dyDescent="0.35">
      <c r="A109" t="s">
        <v>223</v>
      </c>
      <c r="B109">
        <v>68</v>
      </c>
    </row>
    <row r="110" spans="1:2" x14ac:dyDescent="0.35">
      <c r="A110" t="s">
        <v>131</v>
      </c>
      <c r="B110">
        <v>69</v>
      </c>
    </row>
    <row r="111" spans="1:2" x14ac:dyDescent="0.35">
      <c r="A111" t="s">
        <v>147</v>
      </c>
      <c r="B111">
        <v>69</v>
      </c>
    </row>
    <row r="112" spans="1:2" x14ac:dyDescent="0.35">
      <c r="A112" t="s">
        <v>155</v>
      </c>
      <c r="B112">
        <v>69</v>
      </c>
    </row>
    <row r="113" spans="1:2" x14ac:dyDescent="0.35">
      <c r="A113" t="s">
        <v>228</v>
      </c>
      <c r="B113">
        <v>70</v>
      </c>
    </row>
    <row r="114" spans="1:2" x14ac:dyDescent="0.35">
      <c r="A114" t="s">
        <v>49</v>
      </c>
      <c r="B114">
        <v>71</v>
      </c>
    </row>
    <row r="115" spans="1:2" x14ac:dyDescent="0.35">
      <c r="A115" t="s">
        <v>196</v>
      </c>
      <c r="B115">
        <v>71</v>
      </c>
    </row>
    <row r="116" spans="1:2" x14ac:dyDescent="0.35">
      <c r="A116" t="s">
        <v>59</v>
      </c>
      <c r="B116">
        <v>72</v>
      </c>
    </row>
    <row r="117" spans="1:2" x14ac:dyDescent="0.35">
      <c r="A117" t="s">
        <v>120</v>
      </c>
      <c r="B117">
        <v>72</v>
      </c>
    </row>
    <row r="118" spans="1:2" x14ac:dyDescent="0.35">
      <c r="A118" t="s">
        <v>82</v>
      </c>
      <c r="B118">
        <v>73</v>
      </c>
    </row>
    <row r="119" spans="1:2" x14ac:dyDescent="0.35">
      <c r="A119" t="s">
        <v>87</v>
      </c>
      <c r="B119">
        <v>74</v>
      </c>
    </row>
    <row r="120" spans="1:2" x14ac:dyDescent="0.35">
      <c r="A120" t="s">
        <v>192</v>
      </c>
      <c r="B120">
        <v>74</v>
      </c>
    </row>
    <row r="121" spans="1:2" x14ac:dyDescent="0.35">
      <c r="A121" t="s">
        <v>229</v>
      </c>
      <c r="B121">
        <v>74</v>
      </c>
    </row>
    <row r="122" spans="1:2" x14ac:dyDescent="0.35">
      <c r="A122" t="s">
        <v>3</v>
      </c>
      <c r="B122">
        <v>75</v>
      </c>
    </row>
    <row r="123" spans="1:2" x14ac:dyDescent="0.35">
      <c r="A123" t="s">
        <v>18</v>
      </c>
      <c r="B123">
        <v>75</v>
      </c>
    </row>
    <row r="124" spans="1:2" x14ac:dyDescent="0.35">
      <c r="A124" t="s">
        <v>73</v>
      </c>
      <c r="B124">
        <v>75</v>
      </c>
    </row>
    <row r="125" spans="1:2" x14ac:dyDescent="0.35">
      <c r="A125" t="s">
        <v>99</v>
      </c>
      <c r="B125">
        <v>75</v>
      </c>
    </row>
    <row r="126" spans="1:2" x14ac:dyDescent="0.35">
      <c r="A126" t="s">
        <v>161</v>
      </c>
      <c r="B126">
        <v>75</v>
      </c>
    </row>
    <row r="127" spans="1:2" x14ac:dyDescent="0.35">
      <c r="A127" t="s">
        <v>198</v>
      </c>
      <c r="B127">
        <v>75</v>
      </c>
    </row>
    <row r="128" spans="1:2" x14ac:dyDescent="0.35">
      <c r="A128" t="s">
        <v>116</v>
      </c>
      <c r="B128">
        <v>76</v>
      </c>
    </row>
    <row r="129" spans="1:2" x14ac:dyDescent="0.35">
      <c r="A129" t="s">
        <v>117</v>
      </c>
      <c r="B129">
        <v>76</v>
      </c>
    </row>
    <row r="130" spans="1:2" x14ac:dyDescent="0.35">
      <c r="A130" t="s">
        <v>181</v>
      </c>
      <c r="B130">
        <v>76</v>
      </c>
    </row>
    <row r="131" spans="1:2" x14ac:dyDescent="0.35">
      <c r="A131" t="s">
        <v>4</v>
      </c>
      <c r="B131">
        <v>77</v>
      </c>
    </row>
    <row r="132" spans="1:2" x14ac:dyDescent="0.35">
      <c r="A132" t="s">
        <v>30</v>
      </c>
      <c r="B132">
        <v>78</v>
      </c>
    </row>
    <row r="133" spans="1:2" x14ac:dyDescent="0.35">
      <c r="A133" t="s">
        <v>42</v>
      </c>
      <c r="B133">
        <v>78</v>
      </c>
    </row>
    <row r="134" spans="1:2" x14ac:dyDescent="0.35">
      <c r="A134" t="s">
        <v>48</v>
      </c>
      <c r="B134">
        <v>78</v>
      </c>
    </row>
    <row r="135" spans="1:2" x14ac:dyDescent="0.35">
      <c r="A135" t="s">
        <v>70</v>
      </c>
      <c r="B135">
        <v>78</v>
      </c>
    </row>
    <row r="136" spans="1:2" x14ac:dyDescent="0.35">
      <c r="A136" t="s">
        <v>154</v>
      </c>
      <c r="B136">
        <v>78</v>
      </c>
    </row>
    <row r="137" spans="1:2" x14ac:dyDescent="0.35">
      <c r="A137" t="s">
        <v>217</v>
      </c>
      <c r="B137">
        <v>78</v>
      </c>
    </row>
    <row r="138" spans="1:2" x14ac:dyDescent="0.35">
      <c r="A138" t="s">
        <v>96</v>
      </c>
      <c r="B138">
        <v>79</v>
      </c>
    </row>
    <row r="139" spans="1:2" x14ac:dyDescent="0.35">
      <c r="A139" t="s">
        <v>180</v>
      </c>
      <c r="B139">
        <v>79</v>
      </c>
    </row>
    <row r="140" spans="1:2" x14ac:dyDescent="0.35">
      <c r="A140" t="s">
        <v>176</v>
      </c>
      <c r="B140">
        <v>80</v>
      </c>
    </row>
    <row r="141" spans="1:2" x14ac:dyDescent="0.35">
      <c r="A141" t="s">
        <v>220</v>
      </c>
      <c r="B141">
        <v>80</v>
      </c>
    </row>
    <row r="142" spans="1:2" x14ac:dyDescent="0.35">
      <c r="A142" t="s">
        <v>61</v>
      </c>
      <c r="B142">
        <v>81</v>
      </c>
    </row>
    <row r="143" spans="1:2" x14ac:dyDescent="0.35">
      <c r="A143" t="s">
        <v>80</v>
      </c>
      <c r="B143">
        <v>81</v>
      </c>
    </row>
    <row r="144" spans="1:2" x14ac:dyDescent="0.35">
      <c r="A144" t="s">
        <v>208</v>
      </c>
      <c r="B144">
        <v>81</v>
      </c>
    </row>
    <row r="145" spans="1:2" x14ac:dyDescent="0.35">
      <c r="A145" t="s">
        <v>184</v>
      </c>
      <c r="B145">
        <v>82</v>
      </c>
    </row>
    <row r="146" spans="1:2" x14ac:dyDescent="0.35">
      <c r="A146" t="s">
        <v>212</v>
      </c>
      <c r="B146">
        <v>82</v>
      </c>
    </row>
    <row r="147" spans="1:2" x14ac:dyDescent="0.35">
      <c r="A147" t="s">
        <v>6</v>
      </c>
      <c r="B147">
        <v>83</v>
      </c>
    </row>
    <row r="148" spans="1:2" x14ac:dyDescent="0.35">
      <c r="A148" t="s">
        <v>233</v>
      </c>
      <c r="B148">
        <v>83</v>
      </c>
    </row>
    <row r="149" spans="1:2" x14ac:dyDescent="0.35">
      <c r="A149" t="s">
        <v>197</v>
      </c>
      <c r="B149">
        <v>84</v>
      </c>
    </row>
    <row r="150" spans="1:2" x14ac:dyDescent="0.35">
      <c r="A150" t="s">
        <v>24</v>
      </c>
      <c r="B150">
        <v>85</v>
      </c>
    </row>
    <row r="151" spans="1:2" x14ac:dyDescent="0.35">
      <c r="A151" t="s">
        <v>38</v>
      </c>
      <c r="B151">
        <v>85</v>
      </c>
    </row>
    <row r="152" spans="1:2" x14ac:dyDescent="0.35">
      <c r="A152" t="s">
        <v>193</v>
      </c>
      <c r="B152">
        <v>85</v>
      </c>
    </row>
    <row r="153" spans="1:2" x14ac:dyDescent="0.35">
      <c r="A153" t="s">
        <v>41</v>
      </c>
      <c r="B153">
        <v>86</v>
      </c>
    </row>
    <row r="154" spans="1:2" x14ac:dyDescent="0.35">
      <c r="A154" t="s">
        <v>165</v>
      </c>
      <c r="B154">
        <v>86</v>
      </c>
    </row>
    <row r="155" spans="1:2" x14ac:dyDescent="0.35">
      <c r="A155" t="s">
        <v>20</v>
      </c>
      <c r="B155">
        <v>87</v>
      </c>
    </row>
    <row r="156" spans="1:2" x14ac:dyDescent="0.35">
      <c r="A156" t="s">
        <v>89</v>
      </c>
      <c r="B156">
        <v>87</v>
      </c>
    </row>
    <row r="157" spans="1:2" x14ac:dyDescent="0.35">
      <c r="A157" t="s">
        <v>178</v>
      </c>
      <c r="B157">
        <v>87</v>
      </c>
    </row>
    <row r="158" spans="1:2" x14ac:dyDescent="0.35">
      <c r="A158" t="s">
        <v>179</v>
      </c>
      <c r="B158">
        <v>87</v>
      </c>
    </row>
    <row r="159" spans="1:2" x14ac:dyDescent="0.35">
      <c r="A159" t="s">
        <v>14</v>
      </c>
      <c r="B159">
        <v>88</v>
      </c>
    </row>
    <row r="160" spans="1:2" x14ac:dyDescent="0.35">
      <c r="A160" t="s">
        <v>112</v>
      </c>
      <c r="B160">
        <v>88</v>
      </c>
    </row>
    <row r="161" spans="1:2" x14ac:dyDescent="0.35">
      <c r="A161" t="s">
        <v>139</v>
      </c>
      <c r="B161">
        <v>89</v>
      </c>
    </row>
    <row r="162" spans="1:2" x14ac:dyDescent="0.35">
      <c r="A162" t="s">
        <v>54</v>
      </c>
      <c r="B162">
        <v>90</v>
      </c>
    </row>
    <row r="163" spans="1:2" x14ac:dyDescent="0.35">
      <c r="A163" t="s">
        <v>174</v>
      </c>
      <c r="B163">
        <v>90</v>
      </c>
    </row>
    <row r="164" spans="1:2" x14ac:dyDescent="0.35">
      <c r="A164" t="s">
        <v>226</v>
      </c>
      <c r="B164">
        <v>90</v>
      </c>
    </row>
    <row r="165" spans="1:2" x14ac:dyDescent="0.35">
      <c r="A165" t="s">
        <v>121</v>
      </c>
      <c r="B165">
        <v>91</v>
      </c>
    </row>
    <row r="166" spans="1:2" x14ac:dyDescent="0.35">
      <c r="A166" t="s">
        <v>186</v>
      </c>
      <c r="B166">
        <v>92</v>
      </c>
    </row>
    <row r="167" spans="1:2" x14ac:dyDescent="0.35">
      <c r="A167" t="s">
        <v>5</v>
      </c>
      <c r="B167">
        <v>93</v>
      </c>
    </row>
    <row r="168" spans="1:2" x14ac:dyDescent="0.35">
      <c r="A168" t="s">
        <v>78</v>
      </c>
      <c r="B168">
        <v>93</v>
      </c>
    </row>
    <row r="169" spans="1:2" x14ac:dyDescent="0.35">
      <c r="A169" t="s">
        <v>149</v>
      </c>
      <c r="B169">
        <v>93</v>
      </c>
    </row>
    <row r="170" spans="1:2" x14ac:dyDescent="0.35">
      <c r="A170" t="s">
        <v>221</v>
      </c>
      <c r="B170">
        <v>93</v>
      </c>
    </row>
    <row r="171" spans="1:2" x14ac:dyDescent="0.35">
      <c r="A171" t="s">
        <v>169</v>
      </c>
      <c r="B171">
        <v>94</v>
      </c>
    </row>
    <row r="172" spans="1:2" x14ac:dyDescent="0.35">
      <c r="A172" t="s">
        <v>213</v>
      </c>
      <c r="B172">
        <v>94</v>
      </c>
    </row>
    <row r="173" spans="1:2" x14ac:dyDescent="0.35">
      <c r="A173" t="s">
        <v>50</v>
      </c>
      <c r="B173">
        <v>95</v>
      </c>
    </row>
    <row r="174" spans="1:2" x14ac:dyDescent="0.35">
      <c r="A174" t="s">
        <v>200</v>
      </c>
      <c r="B174">
        <v>95</v>
      </c>
    </row>
    <row r="175" spans="1:2" x14ac:dyDescent="0.35">
      <c r="A175" t="s">
        <v>171</v>
      </c>
      <c r="B175">
        <v>96</v>
      </c>
    </row>
    <row r="176" spans="1:2" x14ac:dyDescent="0.35">
      <c r="A176" t="s">
        <v>124</v>
      </c>
      <c r="B176">
        <v>97</v>
      </c>
    </row>
    <row r="177" spans="1:2" x14ac:dyDescent="0.35">
      <c r="A177" t="s">
        <v>130</v>
      </c>
      <c r="B177">
        <v>97</v>
      </c>
    </row>
    <row r="178" spans="1:2" x14ac:dyDescent="0.35">
      <c r="A178" t="s">
        <v>163</v>
      </c>
      <c r="B178">
        <v>98</v>
      </c>
    </row>
    <row r="179" spans="1:2" x14ac:dyDescent="0.35">
      <c r="A179" t="s">
        <v>107</v>
      </c>
      <c r="B179">
        <v>100</v>
      </c>
    </row>
    <row r="180" spans="1:2" x14ac:dyDescent="0.35">
      <c r="A180" t="s">
        <v>167</v>
      </c>
      <c r="B180">
        <v>100</v>
      </c>
    </row>
    <row r="181" spans="1:2" x14ac:dyDescent="0.35">
      <c r="A181" t="s">
        <v>92</v>
      </c>
      <c r="B181">
        <v>101</v>
      </c>
    </row>
    <row r="182" spans="1:2" x14ac:dyDescent="0.35">
      <c r="A182" t="s">
        <v>185</v>
      </c>
      <c r="B182">
        <v>101</v>
      </c>
    </row>
    <row r="183" spans="1:2" x14ac:dyDescent="0.35">
      <c r="A183" t="s">
        <v>222</v>
      </c>
      <c r="B183">
        <v>101</v>
      </c>
    </row>
    <row r="184" spans="1:2" x14ac:dyDescent="0.35">
      <c r="A184" t="s">
        <v>175</v>
      </c>
      <c r="B184">
        <v>102</v>
      </c>
    </row>
    <row r="185" spans="1:2" x14ac:dyDescent="0.35">
      <c r="A185" t="s">
        <v>57</v>
      </c>
      <c r="B185">
        <v>103</v>
      </c>
    </row>
    <row r="186" spans="1:2" x14ac:dyDescent="0.35">
      <c r="A186" t="s">
        <v>119</v>
      </c>
      <c r="B186">
        <v>103</v>
      </c>
    </row>
    <row r="187" spans="1:2" x14ac:dyDescent="0.35">
      <c r="A187" t="s">
        <v>141</v>
      </c>
      <c r="B187">
        <v>103</v>
      </c>
    </row>
    <row r="188" spans="1:2" x14ac:dyDescent="0.35">
      <c r="A188" t="s">
        <v>151</v>
      </c>
      <c r="B188">
        <v>103</v>
      </c>
    </row>
    <row r="189" spans="1:2" x14ac:dyDescent="0.35">
      <c r="A189" t="s">
        <v>153</v>
      </c>
      <c r="B189">
        <v>104</v>
      </c>
    </row>
    <row r="190" spans="1:2" x14ac:dyDescent="0.35">
      <c r="A190" t="s">
        <v>172</v>
      </c>
      <c r="B190">
        <v>104</v>
      </c>
    </row>
    <row r="191" spans="1:2" x14ac:dyDescent="0.35">
      <c r="A191" t="s">
        <v>227</v>
      </c>
      <c r="B191">
        <v>105</v>
      </c>
    </row>
    <row r="192" spans="1:2" x14ac:dyDescent="0.35">
      <c r="A192" t="s">
        <v>10</v>
      </c>
      <c r="B192">
        <v>106</v>
      </c>
    </row>
    <row r="193" spans="1:2" x14ac:dyDescent="0.35">
      <c r="A193" t="s">
        <v>126</v>
      </c>
      <c r="B193">
        <v>106</v>
      </c>
    </row>
    <row r="194" spans="1:2" x14ac:dyDescent="0.35">
      <c r="A194" t="s">
        <v>148</v>
      </c>
      <c r="B194">
        <v>106</v>
      </c>
    </row>
    <row r="195" spans="1:2" x14ac:dyDescent="0.35">
      <c r="A195" t="s">
        <v>202</v>
      </c>
      <c r="B195">
        <v>106</v>
      </c>
    </row>
    <row r="196" spans="1:2" x14ac:dyDescent="0.35">
      <c r="A196" t="s">
        <v>34</v>
      </c>
      <c r="B196">
        <v>107</v>
      </c>
    </row>
    <row r="197" spans="1:2" x14ac:dyDescent="0.35">
      <c r="A197" t="s">
        <v>67</v>
      </c>
      <c r="B197">
        <v>108</v>
      </c>
    </row>
    <row r="198" spans="1:2" x14ac:dyDescent="0.35">
      <c r="A198" t="s">
        <v>127</v>
      </c>
      <c r="B198">
        <v>108</v>
      </c>
    </row>
    <row r="199" spans="1:2" x14ac:dyDescent="0.35">
      <c r="A199" t="s">
        <v>132</v>
      </c>
      <c r="B199">
        <v>108</v>
      </c>
    </row>
    <row r="200" spans="1:2" x14ac:dyDescent="0.35">
      <c r="A200" t="s">
        <v>204</v>
      </c>
      <c r="B200">
        <v>108</v>
      </c>
    </row>
    <row r="201" spans="1:2" x14ac:dyDescent="0.35">
      <c r="A201" t="s">
        <v>39</v>
      </c>
      <c r="B201">
        <v>109</v>
      </c>
    </row>
    <row r="202" spans="1:2" x14ac:dyDescent="0.35">
      <c r="A202" t="s">
        <v>199</v>
      </c>
      <c r="B202">
        <v>109</v>
      </c>
    </row>
    <row r="203" spans="1:2" x14ac:dyDescent="0.35">
      <c r="A203" t="s">
        <v>214</v>
      </c>
      <c r="B203">
        <v>109</v>
      </c>
    </row>
    <row r="204" spans="1:2" x14ac:dyDescent="0.35">
      <c r="A204" t="s">
        <v>195</v>
      </c>
      <c r="B204">
        <v>110</v>
      </c>
    </row>
    <row r="205" spans="1:2" x14ac:dyDescent="0.35">
      <c r="A205" t="s">
        <v>230</v>
      </c>
      <c r="B205">
        <v>110</v>
      </c>
    </row>
    <row r="206" spans="1:2" x14ac:dyDescent="0.35">
      <c r="A206" t="s">
        <v>191</v>
      </c>
      <c r="B206">
        <v>111</v>
      </c>
    </row>
    <row r="207" spans="1:2" x14ac:dyDescent="0.35">
      <c r="A207" t="s">
        <v>206</v>
      </c>
      <c r="B207">
        <v>111</v>
      </c>
    </row>
    <row r="208" spans="1:2" x14ac:dyDescent="0.35">
      <c r="A208" t="s">
        <v>19</v>
      </c>
      <c r="B208">
        <v>112</v>
      </c>
    </row>
    <row r="209" spans="1:2" x14ac:dyDescent="0.35">
      <c r="A209" t="s">
        <v>215</v>
      </c>
      <c r="B209">
        <v>112</v>
      </c>
    </row>
    <row r="210" spans="1:2" x14ac:dyDescent="0.35">
      <c r="A210" t="s">
        <v>231</v>
      </c>
      <c r="B210">
        <v>112</v>
      </c>
    </row>
    <row r="211" spans="1:2" x14ac:dyDescent="0.35">
      <c r="A211" t="s">
        <v>207</v>
      </c>
      <c r="B211">
        <v>113</v>
      </c>
    </row>
    <row r="212" spans="1:2" x14ac:dyDescent="0.35">
      <c r="A212" t="s">
        <v>216</v>
      </c>
      <c r="B212">
        <v>113</v>
      </c>
    </row>
    <row r="213" spans="1:2" x14ac:dyDescent="0.35">
      <c r="A213" t="s">
        <v>234</v>
      </c>
      <c r="B213">
        <v>113</v>
      </c>
    </row>
    <row r="214" spans="1:2" x14ac:dyDescent="0.35">
      <c r="A214" t="s">
        <v>145</v>
      </c>
      <c r="B214">
        <v>114</v>
      </c>
    </row>
    <row r="215" spans="1:2" x14ac:dyDescent="0.35">
      <c r="A215" t="s">
        <v>218</v>
      </c>
      <c r="B215">
        <v>114</v>
      </c>
    </row>
    <row r="216" spans="1:2" x14ac:dyDescent="0.35">
      <c r="A216" t="s">
        <v>71</v>
      </c>
      <c r="B216">
        <v>115</v>
      </c>
    </row>
    <row r="217" spans="1:2" x14ac:dyDescent="0.35">
      <c r="A217" t="s">
        <v>106</v>
      </c>
      <c r="B217">
        <v>115</v>
      </c>
    </row>
    <row r="218" spans="1:2" x14ac:dyDescent="0.35">
      <c r="A218" t="s">
        <v>152</v>
      </c>
      <c r="B218">
        <v>115</v>
      </c>
    </row>
    <row r="219" spans="1:2" x14ac:dyDescent="0.35">
      <c r="A219" t="s">
        <v>27</v>
      </c>
      <c r="B219">
        <v>116</v>
      </c>
    </row>
    <row r="220" spans="1:2" x14ac:dyDescent="0.35">
      <c r="A220" t="s">
        <v>88</v>
      </c>
      <c r="B220">
        <v>116</v>
      </c>
    </row>
    <row r="221" spans="1:2" x14ac:dyDescent="0.35">
      <c r="A221" t="s">
        <v>113</v>
      </c>
      <c r="B221">
        <v>116</v>
      </c>
    </row>
    <row r="222" spans="1:2" x14ac:dyDescent="0.35">
      <c r="A222" t="s">
        <v>46</v>
      </c>
      <c r="B222">
        <v>117</v>
      </c>
    </row>
    <row r="223" spans="1:2" x14ac:dyDescent="0.35">
      <c r="A223" t="s">
        <v>142</v>
      </c>
      <c r="B223">
        <v>117</v>
      </c>
    </row>
    <row r="224" spans="1:2" x14ac:dyDescent="0.35">
      <c r="A224" t="s">
        <v>11</v>
      </c>
      <c r="B224">
        <v>118</v>
      </c>
    </row>
    <row r="225" spans="1:2" x14ac:dyDescent="0.35">
      <c r="A225" t="s">
        <v>123</v>
      </c>
      <c r="B225">
        <v>118</v>
      </c>
    </row>
    <row r="226" spans="1:2" x14ac:dyDescent="0.35">
      <c r="A226" t="s">
        <v>16</v>
      </c>
      <c r="B226">
        <v>119</v>
      </c>
    </row>
    <row r="227" spans="1:2" x14ac:dyDescent="0.35">
      <c r="A227" t="s">
        <v>37</v>
      </c>
      <c r="B227">
        <v>119</v>
      </c>
    </row>
    <row r="228" spans="1:2" x14ac:dyDescent="0.35">
      <c r="A228" t="s">
        <v>45</v>
      </c>
      <c r="B228">
        <v>119</v>
      </c>
    </row>
    <row r="229" spans="1:2" x14ac:dyDescent="0.35">
      <c r="A229" t="s">
        <v>95</v>
      </c>
      <c r="B229">
        <v>119</v>
      </c>
    </row>
    <row r="230" spans="1:2" x14ac:dyDescent="0.35">
      <c r="A230" t="s">
        <v>183</v>
      </c>
      <c r="B230">
        <v>119</v>
      </c>
    </row>
    <row r="231" spans="1:2" x14ac:dyDescent="0.35">
      <c r="A231" t="s">
        <v>13</v>
      </c>
      <c r="B231">
        <v>120</v>
      </c>
    </row>
    <row r="232" spans="1:2" x14ac:dyDescent="0.35">
      <c r="A232" t="s">
        <v>25</v>
      </c>
      <c r="B232">
        <v>120</v>
      </c>
    </row>
    <row r="233" spans="1:2" x14ac:dyDescent="0.35">
      <c r="A233" t="s">
        <v>36</v>
      </c>
      <c r="B233">
        <v>120</v>
      </c>
    </row>
    <row r="234" spans="1:2" x14ac:dyDescent="0.35">
      <c r="A234" t="s">
        <v>58</v>
      </c>
      <c r="B234">
        <v>120</v>
      </c>
    </row>
    <row r="235" spans="1:2" x14ac:dyDescent="0.35">
      <c r="A235" t="s">
        <v>79</v>
      </c>
      <c r="B235">
        <v>120</v>
      </c>
    </row>
  </sheetData>
  <mergeCells count="3">
    <mergeCell ref="H9:J9"/>
    <mergeCell ref="E18:F18"/>
    <mergeCell ref="I18:L24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2635F9-AC37-4BD9-80B1-F710F66DC3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Es 7</vt:lpstr>
      <vt:lpstr>8</vt:lpstr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2026-08-02T08:09:48Z</dcterms:modified>
</cp:coreProperties>
</file>