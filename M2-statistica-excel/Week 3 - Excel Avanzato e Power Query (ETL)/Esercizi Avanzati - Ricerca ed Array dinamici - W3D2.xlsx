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ntopll/Desktop/Epicode/"/>
    </mc:Choice>
  </mc:AlternateContent>
  <xr:revisionPtr revIDLastSave="0" documentId="13_ncr:1_{18AD0F78-4777-D44A-964C-69DB2CC9A678}" xr6:coauthVersionLast="47" xr6:coauthVersionMax="47" xr10:uidLastSave="{00000000-0000-0000-0000-000000000000}"/>
  <bookViews>
    <workbookView xWindow="0" yWindow="500" windowWidth="28800" windowHeight="15760" activeTab="3" xr2:uid="{00000000-000D-0000-FFFF-FFFF00000000}"/>
  </bookViews>
  <sheets>
    <sheet name="Parcheggio" sheetId="1" r:id="rId1"/>
    <sheet name="Frutta" sheetId="2" r:id="rId2"/>
    <sheet name="TRACCIA" sheetId="3" r:id="rId3"/>
    <sheet name="ESERCIZIO 4" sheetId="4" r:id="rId4"/>
    <sheet name="ESERCIZIO 5" sheetId="5" r:id="rId5"/>
    <sheet name="ESERCIZIO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G11" i="4"/>
  <c r="G12" i="4"/>
  <c r="G13" i="4"/>
  <c r="G14" i="4"/>
  <c r="P42" i="6"/>
  <c r="O31" i="6"/>
  <c r="O30" i="6"/>
  <c r="G21" i="6" a="1"/>
  <c r="G21" i="6" s="1"/>
  <c r="K11" i="6"/>
  <c r="K9" i="6"/>
  <c r="G21" i="5" a="1"/>
  <c r="G21" i="5" s="1"/>
  <c r="K11" i="5"/>
  <c r="K9" i="5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E2" i="2" a="1"/>
  <c r="E2" i="2" s="1"/>
  <c r="F10" i="4" a="1"/>
  <c r="F10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<sst xmlns="http://schemas.openxmlformats.org/spreadsheetml/2006/main" count="664" uniqueCount="226">
  <si>
    <t>TARGA</t>
  </si>
  <si>
    <t>ORE PARCHEGGIATE</t>
  </si>
  <si>
    <t>TIPOLOGIA VEICOLO</t>
  </si>
  <si>
    <t>COSTO</t>
  </si>
  <si>
    <t>AC234DF</t>
  </si>
  <si>
    <t>1.5</t>
  </si>
  <si>
    <t>LM789GH</t>
  </si>
  <si>
    <t>2.5</t>
  </si>
  <si>
    <t>PQ456IJ</t>
  </si>
  <si>
    <t>3.5</t>
  </si>
  <si>
    <t>UV123KL</t>
  </si>
  <si>
    <t>4.5</t>
  </si>
  <si>
    <t>WX789MN</t>
  </si>
  <si>
    <t>5.5</t>
  </si>
  <si>
    <t>YZ012OP</t>
  </si>
  <si>
    <t>6.5</t>
  </si>
  <si>
    <t>AB345QR</t>
  </si>
  <si>
    <t>7.5</t>
  </si>
  <si>
    <t>CD678ST</t>
  </si>
  <si>
    <t>8.5</t>
  </si>
  <si>
    <t>EF901UV</t>
  </si>
  <si>
    <t>9.5</t>
  </si>
  <si>
    <t>GH234WX</t>
  </si>
  <si>
    <t>10.0</t>
  </si>
  <si>
    <t>IJ567YZ</t>
  </si>
  <si>
    <t>0.5</t>
  </si>
  <si>
    <t>KL890AB</t>
  </si>
  <si>
    <t>1.0</t>
  </si>
  <si>
    <t>MN123CD</t>
  </si>
  <si>
    <t>2.0</t>
  </si>
  <si>
    <t>OP456EF</t>
  </si>
  <si>
    <t>3.0</t>
  </si>
  <si>
    <t>QR789GH</t>
  </si>
  <si>
    <t>4.0</t>
  </si>
  <si>
    <t>ST012IJ</t>
  </si>
  <si>
    <t>5.0</t>
  </si>
  <si>
    <t>UV345KL</t>
  </si>
  <si>
    <t>6.0</t>
  </si>
  <si>
    <t>WX678MN</t>
  </si>
  <si>
    <t>7.0</t>
  </si>
  <si>
    <t>YZ901OP</t>
  </si>
  <si>
    <t>8.0</t>
  </si>
  <si>
    <t>AB234QR</t>
  </si>
  <si>
    <t>9.0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</si>
  <si>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</si>
  <si>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</si>
  <si>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</si>
  <si>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</si>
  <si>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</si>
  <si>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</si>
  <si>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</si>
  <si>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</si>
  <si>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</si>
  <si>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</si>
  <si>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</si>
  <si>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</si>
  <si>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</si>
  <si>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</si>
  <si>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</si>
  <si>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</si>
  <si>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</si>
  <si>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</si>
  <si>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</si>
  <si>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</si>
  <si>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</si>
  <si>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</si>
  <si>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</si>
  <si>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</si>
  <si>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</si>
  <si>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</si>
  <si>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</si>
  <si>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</si>
  <si>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</si>
  <si>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</si>
  <si>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</si>
  <si>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</si>
  <si>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</si>
  <si>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</si>
  <si>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</si>
  <si>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</si>
  <si>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</si>
  <si>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</si>
  <si>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</si>
  <si>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</si>
  <si>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</si>
  <si>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</si>
  <si>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</si>
  <si>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</si>
  <si>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</si>
  <si>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</si>
  <si>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</si>
  <si>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</si>
  <si>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</si>
  <si>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</si>
  <si>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</si>
  <si>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</si>
  <si>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</si>
  <si>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</si>
  <si>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</si>
  <si>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</si>
  <si>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</si>
  <si>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</si>
  <si>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</si>
  <si>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</si>
  <si>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</si>
  <si>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</si>
  <si>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</si>
  <si>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</si>
  <si>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</si>
  <si>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</si>
  <si>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</si>
  <si>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</si>
  <si>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</si>
  <si>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</si>
  <si>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</si>
  <si>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</si>
  <si>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</si>
  <si>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</si>
  <si>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</si>
  <si>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</si>
  <si>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</si>
  <si>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</si>
  <si>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</si>
  <si>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</si>
  <si>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</si>
  <si>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</si>
  <si>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</si>
  <si>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</si>
  <si>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</si>
  <si>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</si>
  <si>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Listino prezzi</t>
  </si>
  <si>
    <t>Prezzo unitario</t>
  </si>
  <si>
    <t>Listino Prezzi</t>
  </si>
  <si>
    <t>=CONTA.SE(Fatture[Categoria];J9)</t>
  </si>
  <si>
    <t xml:space="preserve">Per contare quante fatture appartengono alla categoria "x" è stata usata la funzione =conta.se riportando tra parentisi tonda il nome della tabella che è stata rinominata in "FATTURE" e in parentesi quadra la colonna "Categoria" e come criterio la cella J9 per cambiare categoria dinamicamente 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</si>
  <si>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</si>
  <si>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</si>
  <si>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</si>
  <si>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</si>
  <si>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</si>
  <si>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</si>
  <si>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</si>
  <si>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Quante fattura appartengono alla categoria</t>
  </si>
  <si>
    <t>Assicurazione</t>
  </si>
  <si>
    <t>Chateau St. Mark</t>
  </si>
  <si>
    <t>H&amp;B</t>
  </si>
  <si>
    <t>Svago</t>
  </si>
  <si>
    <t>Totale importo Fatture della categoria</t>
  </si>
  <si>
    <t>Fletcher's for Children</t>
  </si>
  <si>
    <t>Attrezzatura</t>
  </si>
  <si>
    <t>=SOMMA.SE(Fatture[Categoria];J11;Fatture[Importo fattura])</t>
  </si>
  <si>
    <t>Barber Shop</t>
  </si>
  <si>
    <t>Personale</t>
  </si>
  <si>
    <t xml:space="preserve">Per contare il totale dell'importo delle fatture della categoria "x" è stata usata la funzione =somma.se riportando tra parentisi tonda il nome della tabella FATTURE" e in parentesi quadra la colonna "Categoria" usando come riferimento la cella J11 per renderla dinamica, e come intervallo la colonna importo fattura  </t>
  </si>
  <si>
    <t>Allstate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</si>
  <si>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</si>
  <si>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</si>
  <si>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</si>
  <si>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</si>
  <si>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</si>
  <si>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</si>
  <si>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</si>
  <si>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</si>
  <si>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</si>
  <si>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</si>
  <si>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</si>
  <si>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</si>
  <si>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</si>
  <si>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</si>
  <si>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</si>
  <si>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</si>
  <si>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</si>
  <si>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</si>
  <si>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</si>
  <si>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</si>
  <si>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</si>
  <si>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</si>
  <si>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</si>
  <si>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</si>
  <si>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</si>
  <si>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</si>
  <si>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</si>
  <si>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</si>
  <si>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</si>
  <si>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</si>
  <si>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</si>
  <si>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</si>
  <si>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</si>
  <si>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</si>
  <si>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</si>
  <si>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</si>
  <si>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</si>
  <si>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</si>
  <si>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</si>
  <si>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</si>
  <si>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</si>
  <si>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</si>
  <si>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</si>
  <si>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</si>
  <si>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</si>
  <si>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</si>
  <si>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</si>
  <si>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</si>
  <si>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</si>
  <si>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</si>
  <si>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</si>
  <si>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</si>
  <si>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</si>
  <si>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</si>
  <si>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</si>
  <si>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</si>
  <si>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</si>
  <si>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</si>
  <si>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</si>
  <si>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</si>
  <si>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Cerca fatture con importo superiore a</t>
  </si>
  <si>
    <t>=DATI.ORDINA(FILTRO(Fatture;Fatture[Importo fattura]&gt;J19;);4;-1)</t>
  </si>
  <si>
    <t>Per mettere in ordine ho usato la funzione =DATI.ORDINA, mentre per cercare le fatture con importo superiore a "x" ho collegato la funzione =FILTRO mettendo come matrice la tabella Fatture, e come riferimento la colonna importo fatture aggiungendo la condizione "&gt;cella J19, per rendere dinamica la ricerca, poi inserito la colonna a cui fare riferimento, e l'ordine a cui fare riferimento</t>
  </si>
  <si>
    <t xml:space="preserve">Totale importo fatture </t>
  </si>
  <si>
    <t>Totale importo spese di spedizione</t>
  </si>
  <si>
    <r>
      <t>per convertire l'intervallo in tabella ho selezionato tutte le celle con i valori interessati e formattato facendo "</t>
    </r>
    <r>
      <rPr>
        <b/>
        <sz val="12"/>
        <color rgb="FF000000"/>
        <rFont val="Arial"/>
        <family val="2"/>
        <scheme val="minor"/>
      </rPr>
      <t>command/ctrl + T</t>
    </r>
    <r>
      <rPr>
        <sz val="12"/>
        <color rgb="FF000000"/>
        <rFont val="Arial"/>
        <family val="2"/>
        <scheme val="minor"/>
      </rPr>
      <t xml:space="preserve">", per calcolare gli importi invece ho usato la funzione </t>
    </r>
    <r>
      <rPr>
        <b/>
        <sz val="12"/>
        <color rgb="FF000000"/>
        <rFont val="Arial"/>
        <family val="2"/>
        <scheme val="minor"/>
      </rPr>
      <t>=SOMMA</t>
    </r>
    <r>
      <rPr>
        <sz val="12"/>
        <color rgb="FF000000"/>
        <rFont val="Arial"/>
        <family val="2"/>
        <scheme val="minor"/>
      </rPr>
      <t xml:space="preserve"> selezionando l'intervallo della colonna a cui si voleva fare riferimento</t>
    </r>
  </si>
  <si>
    <t>Totale importo fatture cliente</t>
  </si>
  <si>
    <t>=SOMMA.SE(Fatture[Cliente];N42;Fatture7[[#Tutti];[Importo fattura]])</t>
  </si>
  <si>
    <t>Per restituire l'importo totale di un cliente 'x' è stata usata la funzione =SOMMA.SE riportando come primo riferimento la colonna dei clienti, poi la colonna 'N42' con il menu a tendina con l'elenco dei clienti eseguito con convalida dati per scegliere il cliente in maniera dinamica e poi come secondo riferimento la colonna con tutti gli importi delle fatture</t>
  </si>
  <si>
    <t>=MEDIA.PIÙ.SE(Listino[Prezzo unitario];Listino[FRUTTA];F10;Listino[Prezzo unitario];"&lt;&gt;0")</t>
  </si>
  <si>
    <t xml:space="preserve">Per calcore il prezzo unitario è stata usata la funzione =MEDIA.PIÙ.SE usando come primo riferimento la colonna del prezzo unitario di cui dato è stato tratto dal calcolo COSTO/PESO; come secondo riferimento la colonna FRUTTA usando come criterio la cella F10 che riporta la funzione unici che prendendo tutto l'elenco FRUTTA riporta soltanto i valori unici non ripetendoli e come secondo riterio la colonna del prezzo unitario riportando soltanto i valori &lt;&gt;0 eliminando i valori senza prezzo unitario per evitare di falsificare la media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</si>
</sst>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0" fontId="3" fillId="0" borderId="0" xfId="0" applyFont="1"/>
    <xf numFmtId="0" fontId="3" fillId="2" borderId="2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14" fontId="0" fillId="2" borderId="0" xfId="0" applyNumberFormat="1" applyFill="1"/>
    <xf numFmtId="0" fontId="0" fillId="2" borderId="0" xfId="0" applyFill="1"/>
    <xf numFmtId="44" fontId="0" fillId="2" borderId="0" xfId="1" applyFont="1" applyFill="1"/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14" fontId="0" fillId="0" borderId="0" xfId="0" applyNumberFormat="1"/>
    <xf numFmtId="44" fontId="0" fillId="0" borderId="0" xfId="1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3" fillId="3" borderId="13" xfId="1" applyFont="1" applyFill="1" applyBorder="1" applyAlignment="1">
      <alignment vertical="center"/>
    </xf>
    <xf numFmtId="44" fontId="0" fillId="2" borderId="13" xfId="1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0" fillId="0" borderId="0" xfId="0" applyNumberFormat="1" applyFill="1"/>
    <xf numFmtId="0" fontId="0" fillId="0" borderId="0" xfId="0" applyFill="1"/>
    <xf numFmtId="44" fontId="3" fillId="0" borderId="0" xfId="1" applyNumberFormat="1" applyFont="1" applyFill="1"/>
    <xf numFmtId="0" fontId="3" fillId="2" borderId="5" xfId="0" quotePrefix="1" applyFont="1" applyFill="1" applyBorder="1" applyAlignment="1">
      <alignment horizontal="center"/>
    </xf>
    <xf numFmtId="0" fontId="3" fillId="2" borderId="6" xfId="0" quotePrefix="1" applyFont="1" applyFill="1" applyBorder="1" applyAlignment="1">
      <alignment horizontal="center"/>
    </xf>
    <xf numFmtId="0" fontId="3" fillId="2" borderId="7" xfId="0" quotePrefix="1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4" fontId="0" fillId="0" borderId="5" xfId="0" applyNumberFormat="1" applyFill="1" applyBorder="1"/>
    <xf numFmtId="0" fontId="0" fillId="0" borderId="6" xfId="0" applyFill="1" applyBorder="1"/>
    <xf numFmtId="44" fontId="3" fillId="0" borderId="6" xfId="1" applyNumberFormat="1" applyFont="1" applyFill="1" applyBorder="1"/>
    <xf numFmtId="44" fontId="3" fillId="0" borderId="7" xfId="1" applyNumberFormat="1" applyFont="1" applyFill="1" applyBorder="1"/>
    <xf numFmtId="14" fontId="0" fillId="0" borderId="8" xfId="0" applyNumberFormat="1" applyFill="1" applyBorder="1"/>
    <xf numFmtId="0" fontId="0" fillId="0" borderId="0" xfId="0" applyFill="1" applyBorder="1"/>
    <xf numFmtId="44" fontId="3" fillId="0" borderId="0" xfId="1" applyNumberFormat="1" applyFont="1" applyFill="1" applyBorder="1"/>
    <xf numFmtId="44" fontId="3" fillId="0" borderId="9" xfId="1" applyNumberFormat="1" applyFont="1" applyFill="1" applyBorder="1"/>
    <xf numFmtId="14" fontId="0" fillId="0" borderId="10" xfId="0" applyNumberFormat="1" applyFill="1" applyBorder="1"/>
    <xf numFmtId="0" fontId="0" fillId="0" borderId="11" xfId="0" applyFill="1" applyBorder="1"/>
    <xf numFmtId="44" fontId="3" fillId="0" borderId="11" xfId="1" applyNumberFormat="1" applyFont="1" applyFill="1" applyBorder="1"/>
    <xf numFmtId="44" fontId="3" fillId="0" borderId="12" xfId="1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44" fontId="0" fillId="3" borderId="13" xfId="1" applyFont="1" applyFill="1" applyBorder="1"/>
    <xf numFmtId="44" fontId="0" fillId="3" borderId="14" xfId="0" applyNumberFormat="1" applyFill="1" applyBorder="1"/>
    <xf numFmtId="44" fontId="0" fillId="3" borderId="15" xfId="0" applyNumberFormat="1" applyFill="1" applyBorder="1"/>
    <xf numFmtId="14" fontId="7" fillId="2" borderId="5" xfId="0" applyNumberFormat="1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6" fillId="0" borderId="5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14" fontId="6" fillId="0" borderId="8" xfId="0" applyNumberFormat="1" applyFont="1" applyFill="1" applyBorder="1" applyAlignment="1">
      <alignment horizontal="center" vertical="center" wrapText="1"/>
    </xf>
    <xf numFmtId="14" fontId="6" fillId="0" borderId="0" xfId="0" applyNumberFormat="1" applyFont="1" applyFill="1" applyBorder="1" applyAlignment="1">
      <alignment horizontal="center" vertical="center" wrapText="1"/>
    </xf>
    <xf numFmtId="14" fontId="6" fillId="0" borderId="9" xfId="0" applyNumberFormat="1" applyFont="1" applyFill="1" applyBorder="1" applyAlignment="1">
      <alignment horizontal="center" vertical="center" wrapText="1"/>
    </xf>
    <xf numFmtId="14" fontId="6" fillId="0" borderId="10" xfId="0" applyNumberFormat="1" applyFont="1" applyFill="1" applyBorder="1" applyAlignment="1">
      <alignment horizontal="center" vertical="center" wrapText="1"/>
    </xf>
    <xf numFmtId="14" fontId="6" fillId="0" borderId="11" xfId="0" applyNumberFormat="1" applyFont="1" applyFill="1" applyBorder="1" applyAlignment="1">
      <alignment horizontal="center" vertical="center" wrapText="1"/>
    </xf>
    <xf numFmtId="14" fontId="6" fillId="0" borderId="1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center"/>
    </xf>
    <xf numFmtId="0" fontId="0" fillId="3" borderId="2" xfId="0" applyFill="1" applyBorder="1"/>
    <xf numFmtId="44" fontId="3" fillId="3" borderId="4" xfId="1" applyNumberFormat="1" applyFont="1" applyFill="1" applyBorder="1"/>
    <xf numFmtId="14" fontId="0" fillId="0" borderId="0" xfId="0" applyNumberFormat="1" applyFill="1" applyBorder="1"/>
    <xf numFmtId="14" fontId="7" fillId="2" borderId="7" xfId="0" applyNumberFormat="1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44" fontId="3" fillId="0" borderId="0" xfId="1" applyFont="1" applyFill="1" applyBorder="1"/>
    <xf numFmtId="44" fontId="3" fillId="0" borderId="0" xfId="1" applyFont="1" applyFill="1"/>
    <xf numFmtId="44" fontId="0" fillId="0" borderId="0" xfId="1" applyFont="1" applyFill="1"/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4" fontId="3" fillId="0" borderId="0" xfId="1" applyFont="1" applyFill="1" applyBorder="1" applyAlignment="1">
      <alignment vertical="center"/>
    </xf>
    <xf numFmtId="0" fontId="1" fillId="0" borderId="0" xfId="1" applyNumberFormat="1" applyFont="1"/>
    <xf numFmtId="44" fontId="2" fillId="0" borderId="0" xfId="1" applyFont="1"/>
    <xf numFmtId="0" fontId="0" fillId="0" borderId="14" xfId="0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0" fontId="3" fillId="2" borderId="2" xfId="0" quotePrefix="1" applyFont="1" applyFill="1" applyBorder="1"/>
    <xf numFmtId="0" fontId="0" fillId="2" borderId="3" xfId="0" applyFill="1" applyBorder="1"/>
    <xf numFmtId="0" fontId="0" fillId="2" borderId="4" xfId="0" applyFill="1" applyBorder="1"/>
  </cellXfs>
  <cellStyles count="2">
    <cellStyle name="Normale" xfId="0" builtinId="0"/>
    <cellStyle name="Valuta" xfId="1" builtinId="4"/>
  </cellStyles>
  <dxfs count="16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</dxfs>
  <tableStyles count="1" defaultTableStyle="TableStyleMedium2" defaultPivotStyle="PivotStyleLight16">
    <tableStyle name="Giudizio-style" pivot="0" count="3" xr9:uid="{10BC51B6-5444-1645-9680-CD8FD3AC7BC7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13</xdr:row>
      <xdr:rowOff>62446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2281560-66BF-8DB2-70FB-435C820F8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22087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904240</xdr:colOff>
      <xdr:row>7</xdr:row>
      <xdr:rowOff>78296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B7152B7-0AF3-EBC5-F38A-91C09D944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35600" cy="12162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1079500</xdr:colOff>
      <xdr:row>6</xdr:row>
      <xdr:rowOff>25400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C9D5466-6AF7-1722-7D52-AF0A9F6D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45200" cy="1041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690418</xdr:colOff>
      <xdr:row>6</xdr:row>
      <xdr:rowOff>88900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8185C951-6555-E6C5-1699-B5960016E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0300" cy="1104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16CF39-F51F-7B4D-BDAC-AF5FE405AC2F}" name="Tabella2" displayName="Tabella2" ref="A1:C47" totalsRowShown="0" headerRowDxfId="9" dataDxfId="8">
  <autoFilter ref="A1:C47" xr:uid="{6616CF39-F51F-7B4D-BDAC-AF5FE405AC2F}"/>
  <tableColumns count="3">
    <tableColumn id="1" xr3:uid="{2B135E64-FF6B-5A4C-AEB4-3E0771A9F690}" name="FRUTTA" dataDxfId="7"/>
    <tableColumn id="2" xr3:uid="{80DCA582-BF35-B54E-97E0-1A74FA23942E}" name="PESO" dataDxfId="6"/>
    <tableColumn id="3" xr3:uid="{ADE981AC-9FB2-3048-8035-0C86285B08DD}" name="COSTO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66932-689C-0B4D-A7EA-BF678F679B94}" name="Listino" displayName="Listino" ref="A9:D55" totalsRowShown="0" headerRowDxfId="15" dataDxfId="14">
  <autoFilter ref="A9:D55" xr:uid="{1CD66932-689C-0B4D-A7EA-BF678F679B94}"/>
  <sortState xmlns:xlrd2="http://schemas.microsoft.com/office/spreadsheetml/2017/richdata2" ref="A10:C55">
    <sortCondition ref="A9:A55"/>
  </sortState>
  <tableColumns count="4">
    <tableColumn id="1" xr3:uid="{73A509E4-387C-7C4A-B200-D5C82AB5C0A5}" name="FRUTTA" dataDxfId="13"/>
    <tableColumn id="2" xr3:uid="{C007EA64-8F8B-1B4A-9766-B8AA08BBF904}" name="PESO" dataDxfId="12"/>
    <tableColumn id="3" xr3:uid="{F5C4F84D-4765-4840-A35D-4E16E4E6EBBC}" name="COSTO" dataDxfId="11"/>
    <tableColumn id="4" xr3:uid="{EC88B1EF-DEE4-6540-9711-16C444A12685}" name="Prezzo unitario" dataDxfId="10" dataCellStyle="Valuta">
      <calculatedColumnFormula>IFERROR(C10/B10,"")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ADBA62-8E36-8D44-9982-C53611EBD33B}" name="Fatture" displayName="Fatture" ref="A8:E87" totalsRowShown="0" headerRowDxfId="1">
  <autoFilter ref="A8:E87" xr:uid="{4BADBA62-8E36-8D44-9982-C53611EBD33B}"/>
  <tableColumns count="5">
    <tableColumn id="1" xr3:uid="{76A3BE61-AFCD-2B45-AB5F-2F996C1B3432}" name="Data"/>
    <tableColumn id="2" xr3:uid="{0E195816-C3A8-6943-BF01-862D6B762C1E}" name="Cliente"/>
    <tableColumn id="3" xr3:uid="{2A45E541-082D-6848-8501-ED9C6B36B41E}" name="Categoria"/>
    <tableColumn id="4" xr3:uid="{6E1DC51F-D71C-9243-9FEA-44FF170A019A}" name="Importo fattura" dataCellStyle="Valuta"/>
    <tableColumn id="5" xr3:uid="{98F92BEC-53FE-8C43-BD87-1BB2B218AD9F}" name="Spese di spedizione" dataCellStyle="Valuta"/>
  </tableColumns>
  <tableStyleInfo name="Giudizio-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BA9A22-9636-CD47-99A0-45E12757AD48}" name="Fatture7" displayName="Fatture7" ref="A8:E87" totalsRowShown="0" headerRowDxfId="0">
  <autoFilter ref="A8:E87" xr:uid="{28BA9A22-9636-CD47-99A0-45E12757AD48}"/>
  <tableColumns count="5">
    <tableColumn id="1" xr3:uid="{1B0BAC9E-C5B2-1541-8255-EDB0F0DE0D8F}" name="Data"/>
    <tableColumn id="2" xr3:uid="{26619771-44EA-2E43-90C0-ABAEE4C35022}" name="Cliente"/>
    <tableColumn id="3" xr3:uid="{CD402B9C-868C-4844-8ABE-811FF588CA88}" name="Categoria"/>
    <tableColumn id="4" xr3:uid="{5DB93F7D-B1F5-2342-A888-FD9E3ED01540}" name="Importo fattura" dataCellStyle="Valuta"/>
    <tableColumn id="5" xr3:uid="{27FC8011-D3E3-A845-8902-12D3F22E69DC}" name="Spese di spedizione" dataCellStyle="Valuta"/>
  </tableColumns>
  <tableStyleInfo name="Giudizio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/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4</v>
      </c>
      <c r="B2" s="2" t="s">
        <v>5</v>
      </c>
    </row>
    <row r="3" spans="1:26" ht="15.75" customHeight="1" x14ac:dyDescent="0.15">
      <c r="A3" s="2" t="s">
        <v>6</v>
      </c>
      <c r="B3" s="2" t="s">
        <v>7</v>
      </c>
    </row>
    <row r="4" spans="1:26" ht="15.75" customHeight="1" x14ac:dyDescent="0.15">
      <c r="A4" s="2" t="s">
        <v>8</v>
      </c>
      <c r="B4" s="2" t="s">
        <v>9</v>
      </c>
    </row>
    <row r="5" spans="1:26" ht="15.75" customHeight="1" x14ac:dyDescent="0.15">
      <c r="A5" s="2" t="s">
        <v>10</v>
      </c>
      <c r="B5" s="2" t="s">
        <v>11</v>
      </c>
    </row>
    <row r="6" spans="1:26" ht="15.75" customHeight="1" x14ac:dyDescent="0.15">
      <c r="A6" s="2" t="s">
        <v>12</v>
      </c>
      <c r="B6" s="2" t="s">
        <v>13</v>
      </c>
    </row>
    <row r="7" spans="1:26" ht="15.75" customHeight="1" x14ac:dyDescent="0.15">
      <c r="A7" s="2" t="s">
        <v>14</v>
      </c>
      <c r="B7" s="2" t="s">
        <v>15</v>
      </c>
    </row>
    <row r="8" spans="1:26" ht="15.75" customHeight="1" x14ac:dyDescent="0.15">
      <c r="A8" s="2" t="s">
        <v>16</v>
      </c>
      <c r="B8" s="2" t="s">
        <v>17</v>
      </c>
    </row>
    <row r="9" spans="1:26" ht="15.75" customHeight="1" x14ac:dyDescent="0.15">
      <c r="A9" s="2" t="s">
        <v>18</v>
      </c>
      <c r="B9" s="2" t="s">
        <v>19</v>
      </c>
    </row>
    <row r="10" spans="1:26" ht="15.75" customHeight="1" x14ac:dyDescent="0.15">
      <c r="A10" s="2" t="s">
        <v>20</v>
      </c>
      <c r="B10" s="2" t="s">
        <v>21</v>
      </c>
    </row>
    <row r="11" spans="1:26" ht="15.75" customHeight="1" x14ac:dyDescent="0.15">
      <c r="A11" s="2" t="s">
        <v>22</v>
      </c>
      <c r="B11" s="2" t="s">
        <v>23</v>
      </c>
    </row>
    <row r="12" spans="1:26" ht="15.75" customHeight="1" x14ac:dyDescent="0.15">
      <c r="A12" s="2" t="s">
        <v>24</v>
      </c>
      <c r="B12" s="2" t="s">
        <v>25</v>
      </c>
    </row>
    <row r="13" spans="1:26" ht="15.75" customHeight="1" x14ac:dyDescent="0.15">
      <c r="A13" s="2" t="s">
        <v>26</v>
      </c>
      <c r="B13" s="2" t="s">
        <v>27</v>
      </c>
    </row>
    <row r="14" spans="1:26" ht="15.75" customHeight="1" x14ac:dyDescent="0.15">
      <c r="A14" s="2" t="s">
        <v>28</v>
      </c>
      <c r="B14" s="2" t="s">
        <v>29</v>
      </c>
    </row>
    <row r="15" spans="1:26" ht="15.75" customHeight="1" x14ac:dyDescent="0.15">
      <c r="A15" s="2" t="s">
        <v>30</v>
      </c>
      <c r="B15" s="2" t="s">
        <v>31</v>
      </c>
    </row>
    <row r="16" spans="1:26" ht="15.75" customHeight="1" x14ac:dyDescent="0.15">
      <c r="A16" s="2" t="s">
        <v>32</v>
      </c>
      <c r="B16" s="2" t="s">
        <v>33</v>
      </c>
    </row>
    <row r="17" spans="1:2" ht="15.75" customHeight="1" x14ac:dyDescent="0.15">
      <c r="A17" s="2" t="s">
        <v>34</v>
      </c>
      <c r="B17" s="2" t="s">
        <v>35</v>
      </c>
    </row>
    <row r="18" spans="1:2" ht="15.75" customHeight="1" x14ac:dyDescent="0.15">
      <c r="A18" s="2" t="s">
        <v>36</v>
      </c>
      <c r="B18" s="2" t="s">
        <v>37</v>
      </c>
    </row>
    <row r="19" spans="1:2" ht="15.75" customHeight="1" x14ac:dyDescent="0.15">
      <c r="A19" s="2" t="s">
        <v>38</v>
      </c>
      <c r="B19" s="2" t="s">
        <v>39</v>
      </c>
    </row>
    <row r="20" spans="1:2" ht="15.75" customHeight="1" x14ac:dyDescent="0.15">
      <c r="A20" s="2" t="s">
        <v>40</v>
      </c>
      <c r="B20" s="2" t="s">
        <v>41</v>
      </c>
    </row>
    <row r="21" spans="1:2" ht="15.75" customHeight="1" x14ac:dyDescent="0.15">
      <c r="A21" s="2" t="s">
        <v>42</v>
      </c>
      <c r="B21" s="2" t="s">
        <v>43</v>
      </c>
    </row>
    <row r="22" spans="1:2" ht="15.75" customHeight="1" x14ac:dyDescent="0.15">
      <c r="A22" s="2" t="s">
        <v>44</v>
      </c>
      <c r="B22" s="2" t="s">
        <v>23</v>
      </c>
    </row>
    <row r="23" spans="1:2" ht="15.75" customHeight="1" x14ac:dyDescent="0.15">
      <c r="A23" s="2" t="s">
        <v>45</v>
      </c>
      <c r="B23" s="2" t="s">
        <v>25</v>
      </c>
    </row>
    <row r="24" spans="1:2" ht="15.75" customHeight="1" x14ac:dyDescent="0.15">
      <c r="A24" s="2" t="s">
        <v>46</v>
      </c>
      <c r="B24" s="2" t="s">
        <v>27</v>
      </c>
    </row>
    <row r="25" spans="1:2" ht="15.75" customHeight="1" x14ac:dyDescent="0.15">
      <c r="A25" s="2" t="s">
        <v>47</v>
      </c>
      <c r="B25" s="2" t="s">
        <v>29</v>
      </c>
    </row>
    <row r="26" spans="1:2" ht="15.75" customHeight="1" x14ac:dyDescent="0.15">
      <c r="A26" s="2" t="s">
        <v>48</v>
      </c>
      <c r="B26" s="2" t="s">
        <v>31</v>
      </c>
    </row>
    <row r="27" spans="1:2" ht="15.75" customHeight="1" x14ac:dyDescent="0.15">
      <c r="A27" s="2" t="s">
        <v>49</v>
      </c>
      <c r="B27" s="2" t="s">
        <v>33</v>
      </c>
    </row>
    <row r="28" spans="1:2" ht="15.75" customHeight="1" x14ac:dyDescent="0.15">
      <c r="A28" s="2" t="s">
        <v>50</v>
      </c>
      <c r="B28" s="2" t="s">
        <v>35</v>
      </c>
    </row>
    <row r="29" spans="1:2" ht="15.75" customHeight="1" x14ac:dyDescent="0.15">
      <c r="A29" s="2" t="s">
        <v>51</v>
      </c>
      <c r="B29" s="2" t="s">
        <v>37</v>
      </c>
    </row>
    <row r="30" spans="1:2" ht="15.75" customHeight="1" x14ac:dyDescent="0.15">
      <c r="A30" s="2" t="s">
        <v>52</v>
      </c>
      <c r="B30" s="2" t="s">
        <v>39</v>
      </c>
    </row>
    <row r="31" spans="1:2" ht="15.75" customHeight="1" x14ac:dyDescent="0.15">
      <c r="A31" s="2" t="s">
        <v>53</v>
      </c>
      <c r="B31" s="2" t="s">
        <v>41</v>
      </c>
    </row>
    <row r="32" spans="1:2" ht="15.75" customHeight="1" x14ac:dyDescent="0.15">
      <c r="A32" s="2" t="s">
        <v>54</v>
      </c>
      <c r="B32" s="2" t="s">
        <v>43</v>
      </c>
    </row>
    <row r="33" spans="1:2" ht="15.75" customHeight="1" x14ac:dyDescent="0.15">
      <c r="A33" s="2" t="s">
        <v>55</v>
      </c>
      <c r="B33" s="2" t="s">
        <v>23</v>
      </c>
    </row>
    <row r="34" spans="1:2" ht="15.75" customHeight="1" x14ac:dyDescent="0.15">
      <c r="A34" s="2" t="s">
        <v>56</v>
      </c>
      <c r="B34" s="2" t="s">
        <v>25</v>
      </c>
    </row>
    <row r="35" spans="1:2" ht="15.75" customHeight="1" x14ac:dyDescent="0.15">
      <c r="A35" s="2" t="s">
        <v>57</v>
      </c>
      <c r="B35" s="2" t="s">
        <v>27</v>
      </c>
    </row>
    <row r="36" spans="1:2" ht="15.75" customHeight="1" x14ac:dyDescent="0.15">
      <c r="A36" s="2" t="s">
        <v>58</v>
      </c>
      <c r="B36" s="2" t="s">
        <v>29</v>
      </c>
    </row>
    <row r="37" spans="1:2" ht="15.75" customHeight="1" x14ac:dyDescent="0.15">
      <c r="A37" s="2" t="s">
        <v>59</v>
      </c>
      <c r="B37" s="2" t="s">
        <v>31</v>
      </c>
    </row>
    <row r="38" spans="1:2" ht="15.75" customHeight="1" x14ac:dyDescent="0.15">
      <c r="A38" s="2" t="s">
        <v>60</v>
      </c>
      <c r="B38" s="2" t="s">
        <v>33</v>
      </c>
    </row>
    <row r="39" spans="1:2" ht="15.75" customHeight="1" x14ac:dyDescent="0.15">
      <c r="A39" s="2" t="s">
        <v>61</v>
      </c>
      <c r="B39" s="2" t="s">
        <v>35</v>
      </c>
    </row>
    <row r="40" spans="1:2" ht="15.75" customHeight="1" x14ac:dyDescent="0.15">
      <c r="A40" s="2" t="s">
        <v>62</v>
      </c>
      <c r="B40" s="2" t="s">
        <v>37</v>
      </c>
    </row>
    <row r="41" spans="1:2" ht="15.75" customHeight="1" x14ac:dyDescent="0.15">
      <c r="A41" s="2" t="s">
        <v>63</v>
      </c>
      <c r="B41" s="2" t="s">
        <v>39</v>
      </c>
    </row>
    <row r="42" spans="1:2" ht="15.75" customHeight="1" x14ac:dyDescent="0.15">
      <c r="A42" s="2" t="s">
        <v>64</v>
      </c>
      <c r="B42" s="2" t="s">
        <v>41</v>
      </c>
    </row>
    <row r="43" spans="1:2" ht="15.75" customHeight="1" x14ac:dyDescent="0.15">
      <c r="A43" s="2" t="s">
        <v>65</v>
      </c>
      <c r="B43" s="2" t="s">
        <v>43</v>
      </c>
    </row>
    <row r="44" spans="1:2" ht="15.75" customHeight="1" x14ac:dyDescent="0.15">
      <c r="A44" s="2" t="s">
        <v>10</v>
      </c>
      <c r="B44" s="2" t="s">
        <v>23</v>
      </c>
    </row>
    <row r="45" spans="1:2" ht="13" x14ac:dyDescent="0.15">
      <c r="A45" s="2" t="s">
        <v>66</v>
      </c>
      <c r="B45" s="2" t="s">
        <v>25</v>
      </c>
    </row>
    <row r="46" spans="1:2" ht="13" x14ac:dyDescent="0.15">
      <c r="A46" s="2" t="s">
        <v>67</v>
      </c>
      <c r="B46" s="2" t="s">
        <v>27</v>
      </c>
    </row>
    <row r="47" spans="1:2" ht="13" x14ac:dyDescent="0.15">
      <c r="A47" s="2" t="s">
        <v>68</v>
      </c>
      <c r="B47" s="2" t="s">
        <v>29</v>
      </c>
    </row>
    <row r="48" spans="1:2" ht="13" x14ac:dyDescent="0.15">
      <c r="A48" s="2" t="s">
        <v>69</v>
      </c>
      <c r="B48" s="2" t="s">
        <v>31</v>
      </c>
    </row>
    <row r="49" spans="1:2" ht="13" x14ac:dyDescent="0.15">
      <c r="A49" s="2" t="s">
        <v>70</v>
      </c>
      <c r="B49" s="2" t="s">
        <v>33</v>
      </c>
    </row>
    <row r="50" spans="1:2" ht="13" x14ac:dyDescent="0.15">
      <c r="A50" s="2" t="s">
        <v>71</v>
      </c>
      <c r="B50" s="2" t="s">
        <v>35</v>
      </c>
    </row>
    <row r="51" spans="1:2" ht="13" x14ac:dyDescent="0.15">
      <c r="A51" s="2" t="s">
        <v>72</v>
      </c>
      <c r="B51" s="2" t="s">
        <v>37</v>
      </c>
    </row>
    <row r="52" spans="1:2" ht="13" x14ac:dyDescent="0.15">
      <c r="A52" s="2" t="s">
        <v>73</v>
      </c>
      <c r="B52" s="2" t="s">
        <v>39</v>
      </c>
    </row>
    <row r="53" spans="1:2" ht="13" x14ac:dyDescent="0.15">
      <c r="A53" s="2" t="s">
        <v>74</v>
      </c>
      <c r="B53" s="2" t="s">
        <v>41</v>
      </c>
    </row>
    <row r="54" spans="1:2" ht="13" x14ac:dyDescent="0.15">
      <c r="A54" s="2" t="s">
        <v>75</v>
      </c>
      <c r="B54" s="2" t="s">
        <v>43</v>
      </c>
    </row>
    <row r="55" spans="1:2" ht="13" x14ac:dyDescent="0.15">
      <c r="A55" s="2" t="s">
        <v>76</v>
      </c>
      <c r="B55" s="2" t="s">
        <v>23</v>
      </c>
    </row>
    <row r="56" spans="1:2" ht="13" x14ac:dyDescent="0.15">
      <c r="A56" s="2" t="s">
        <v>77</v>
      </c>
      <c r="B56" s="2" t="s">
        <v>25</v>
      </c>
    </row>
    <row r="57" spans="1:2" ht="13" x14ac:dyDescent="0.15">
      <c r="A57" s="2" t="s">
        <v>78</v>
      </c>
      <c r="B57" s="2" t="s">
        <v>27</v>
      </c>
    </row>
    <row r="58" spans="1:2" ht="13" x14ac:dyDescent="0.15">
      <c r="A58" s="2" t="s">
        <v>79</v>
      </c>
      <c r="B58" s="2" t="s">
        <v>29</v>
      </c>
    </row>
    <row r="59" spans="1:2" ht="13" x14ac:dyDescent="0.15">
      <c r="A59" s="2" t="s">
        <v>80</v>
      </c>
      <c r="B59" s="2" t="s">
        <v>31</v>
      </c>
    </row>
    <row r="60" spans="1:2" ht="13" x14ac:dyDescent="0.15">
      <c r="A60" s="2" t="s">
        <v>81</v>
      </c>
      <c r="B60" s="2" t="s">
        <v>33</v>
      </c>
    </row>
    <row r="61" spans="1:2" ht="13" x14ac:dyDescent="0.15">
      <c r="A61" s="2" t="s">
        <v>82</v>
      </c>
      <c r="B61" s="2" t="s">
        <v>35</v>
      </c>
    </row>
    <row r="62" spans="1:2" ht="13" x14ac:dyDescent="0.15">
      <c r="A62" s="2" t="s">
        <v>83</v>
      </c>
      <c r="B62" s="2" t="s">
        <v>37</v>
      </c>
    </row>
    <row r="63" spans="1:2" ht="13" x14ac:dyDescent="0.15">
      <c r="A63" s="2" t="s">
        <v>84</v>
      </c>
      <c r="B63" s="2" t="s">
        <v>39</v>
      </c>
    </row>
    <row r="64" spans="1:2" ht="13" x14ac:dyDescent="0.15">
      <c r="A64" s="2" t="s">
        <v>85</v>
      </c>
      <c r="B64" s="2" t="s">
        <v>41</v>
      </c>
    </row>
    <row r="65" spans="1:2" ht="13" x14ac:dyDescent="0.15">
      <c r="A65" s="2" t="s">
        <v>86</v>
      </c>
      <c r="B65" s="2" t="s">
        <v>43</v>
      </c>
    </row>
    <row r="66" spans="1:2" ht="13" x14ac:dyDescent="0.15">
      <c r="A66" s="2" t="s">
        <v>87</v>
      </c>
      <c r="B66" s="2" t="s">
        <v>23</v>
      </c>
    </row>
    <row r="67" spans="1:2" ht="13" x14ac:dyDescent="0.15">
      <c r="A67" s="2" t="s">
        <v>88</v>
      </c>
      <c r="B67" s="2" t="s">
        <v>25</v>
      </c>
    </row>
    <row r="68" spans="1:2" ht="13" x14ac:dyDescent="0.15">
      <c r="A68" s="2" t="s">
        <v>89</v>
      </c>
      <c r="B68" s="2" t="s">
        <v>27</v>
      </c>
    </row>
    <row r="69" spans="1:2" ht="13" x14ac:dyDescent="0.15">
      <c r="A69" s="2" t="s">
        <v>90</v>
      </c>
      <c r="B69" s="2" t="s">
        <v>29</v>
      </c>
    </row>
    <row r="70" spans="1:2" ht="13" x14ac:dyDescent="0.15">
      <c r="A70" s="2" t="s">
        <v>91</v>
      </c>
      <c r="B70" s="2" t="s">
        <v>31</v>
      </c>
    </row>
    <row r="71" spans="1:2" ht="13" x14ac:dyDescent="0.15">
      <c r="A71" s="2" t="s">
        <v>92</v>
      </c>
      <c r="B71" s="2" t="s">
        <v>33</v>
      </c>
    </row>
    <row r="72" spans="1:2" ht="13" x14ac:dyDescent="0.15">
      <c r="A72" s="2" t="s">
        <v>93</v>
      </c>
      <c r="B72" s="2" t="s">
        <v>35</v>
      </c>
    </row>
    <row r="73" spans="1:2" ht="13" x14ac:dyDescent="0.15">
      <c r="A73" s="2" t="s">
        <v>94</v>
      </c>
      <c r="B73" s="2" t="s">
        <v>37</v>
      </c>
    </row>
    <row r="74" spans="1:2" ht="13" x14ac:dyDescent="0.15">
      <c r="A74" s="2" t="s">
        <v>95</v>
      </c>
      <c r="B74" s="2" t="s">
        <v>39</v>
      </c>
    </row>
    <row r="75" spans="1:2" ht="13" x14ac:dyDescent="0.15">
      <c r="A75" s="2" t="s">
        <v>96</v>
      </c>
      <c r="B75" s="2" t="s">
        <v>41</v>
      </c>
    </row>
    <row r="76" spans="1:2" ht="13" x14ac:dyDescent="0.15">
      <c r="A76" s="2" t="s">
        <v>97</v>
      </c>
      <c r="B76" s="2" t="s">
        <v>43</v>
      </c>
    </row>
    <row r="77" spans="1:2" ht="13" x14ac:dyDescent="0.15">
      <c r="A77" s="2" t="s">
        <v>98</v>
      </c>
      <c r="B77" s="2" t="s">
        <v>23</v>
      </c>
    </row>
    <row r="78" spans="1:2" ht="13" x14ac:dyDescent="0.15">
      <c r="A78" s="2" t="s">
        <v>99</v>
      </c>
      <c r="B78" s="2" t="s">
        <v>25</v>
      </c>
    </row>
    <row r="79" spans="1:2" ht="13" x14ac:dyDescent="0.15">
      <c r="A79" s="2" t="s">
        <v>100</v>
      </c>
      <c r="B79" s="2" t="s">
        <v>27</v>
      </c>
    </row>
    <row r="80" spans="1:2" ht="13" x14ac:dyDescent="0.15">
      <c r="A80" s="2" t="s">
        <v>101</v>
      </c>
      <c r="B80" s="2" t="s">
        <v>29</v>
      </c>
    </row>
    <row r="81" spans="1:2" ht="13" x14ac:dyDescent="0.15">
      <c r="A81" s="2" t="s">
        <v>102</v>
      </c>
      <c r="B81" s="2" t="s">
        <v>31</v>
      </c>
    </row>
    <row r="82" spans="1:2" ht="13" x14ac:dyDescent="0.15">
      <c r="A82" s="2" t="s">
        <v>103</v>
      </c>
      <c r="B82" s="2" t="s">
        <v>33</v>
      </c>
    </row>
    <row r="83" spans="1:2" ht="13" x14ac:dyDescent="0.15">
      <c r="A83" s="2" t="s">
        <v>104</v>
      </c>
      <c r="B83" s="2" t="s">
        <v>35</v>
      </c>
    </row>
    <row r="84" spans="1:2" ht="13" x14ac:dyDescent="0.15">
      <c r="A84" s="2" t="s">
        <v>105</v>
      </c>
      <c r="B84" s="2" t="s">
        <v>37</v>
      </c>
    </row>
    <row r="85" spans="1:2" ht="13" x14ac:dyDescent="0.15">
      <c r="A85" s="2" t="s">
        <v>106</v>
      </c>
      <c r="B85" s="2" t="s">
        <v>39</v>
      </c>
    </row>
    <row r="86" spans="1:2" ht="13" x14ac:dyDescent="0.15">
      <c r="A86" s="2" t="s">
        <v>107</v>
      </c>
      <c r="B86" s="2" t="s">
        <v>41</v>
      </c>
    </row>
    <row r="87" spans="1:2" ht="13" x14ac:dyDescent="0.15">
      <c r="A87" s="2" t="s">
        <v>108</v>
      </c>
      <c r="B87" s="2" t="s">
        <v>43</v>
      </c>
    </row>
    <row r="88" spans="1:2" ht="13" x14ac:dyDescent="0.15">
      <c r="A88" s="2" t="s">
        <v>109</v>
      </c>
      <c r="B88" s="2" t="s">
        <v>23</v>
      </c>
    </row>
    <row r="89" spans="1:2" ht="13" x14ac:dyDescent="0.15">
      <c r="A89" s="2" t="s">
        <v>110</v>
      </c>
      <c r="B89" s="2" t="s">
        <v>25</v>
      </c>
    </row>
    <row r="90" spans="1:2" ht="13" x14ac:dyDescent="0.15">
      <c r="A90" s="2" t="s">
        <v>111</v>
      </c>
      <c r="B90" s="2" t="s">
        <v>27</v>
      </c>
    </row>
    <row r="91" spans="1:2" ht="13" x14ac:dyDescent="0.15">
      <c r="A91" s="2" t="s">
        <v>112</v>
      </c>
      <c r="B91" s="2" t="s">
        <v>29</v>
      </c>
    </row>
    <row r="92" spans="1:2" ht="13" x14ac:dyDescent="0.15">
      <c r="A92" s="2" t="s">
        <v>113</v>
      </c>
      <c r="B92" s="2" t="s">
        <v>31</v>
      </c>
    </row>
    <row r="93" spans="1:2" ht="13" x14ac:dyDescent="0.15">
      <c r="A93" s="2" t="s">
        <v>114</v>
      </c>
      <c r="B93" s="2" t="s">
        <v>33</v>
      </c>
    </row>
    <row r="94" spans="1:2" ht="13" x14ac:dyDescent="0.15">
      <c r="A94" s="2" t="s">
        <v>115</v>
      </c>
      <c r="B94" s="2" t="s">
        <v>35</v>
      </c>
    </row>
    <row r="95" spans="1:2" ht="13" x14ac:dyDescent="0.15">
      <c r="A95" s="2" t="s">
        <v>116</v>
      </c>
      <c r="B95" s="2" t="s">
        <v>37</v>
      </c>
    </row>
    <row r="96" spans="1:2" ht="13" x14ac:dyDescent="0.15">
      <c r="A96" s="2" t="s">
        <v>117</v>
      </c>
      <c r="B96" s="2" t="s">
        <v>39</v>
      </c>
    </row>
    <row r="97" spans="1:2" ht="13" x14ac:dyDescent="0.15">
      <c r="A97" s="2" t="s">
        <v>118</v>
      </c>
      <c r="B97" s="2" t="s">
        <v>41</v>
      </c>
    </row>
    <row r="98" spans="1:2" ht="13" x14ac:dyDescent="0.15">
      <c r="A98" s="2" t="s">
        <v>119</v>
      </c>
      <c r="B98" s="2" t="s">
        <v>43</v>
      </c>
    </row>
    <row r="99" spans="1:2" ht="13" x14ac:dyDescent="0.15">
      <c r="A99" s="2" t="s">
        <v>120</v>
      </c>
      <c r="B99" s="2" t="s">
        <v>23</v>
      </c>
    </row>
    <row r="100" spans="1:2" ht="13" x14ac:dyDescent="0.15">
      <c r="A100" s="2" t="s">
        <v>121</v>
      </c>
      <c r="B100" s="2" t="s">
        <v>25</v>
      </c>
    </row>
    <row r="101" spans="1:2" ht="13" x14ac:dyDescent="0.15">
      <c r="A101" s="2" t="s">
        <v>122</v>
      </c>
      <c r="B101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workbookViewId="0">
      <selection activeCell="H13" sqref="H13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  <col min="5" max="5" width="13.1640625" customWidth="1"/>
    <col min="6" max="6" width="15.6640625" customWidth="1"/>
  </cols>
  <sheetData>
    <row r="1" spans="1:26" ht="15.75" customHeight="1" x14ac:dyDescent="0.15">
      <c r="A1" s="1" t="s">
        <v>123</v>
      </c>
      <c r="B1" s="1" t="s">
        <v>124</v>
      </c>
      <c r="C1" s="1" t="s">
        <v>3</v>
      </c>
      <c r="D1" s="1"/>
      <c r="E1" s="3" t="s">
        <v>132</v>
      </c>
      <c r="F1" s="3" t="s">
        <v>131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125</v>
      </c>
      <c r="B2" s="2">
        <v>55</v>
      </c>
      <c r="E2" s="4" t="str" cm="1">
        <f t="array" ref="E2:E6">_xlfn.UNIQUE(A2:A47)</f>
        <v>Mela</v>
      </c>
      <c r="F2" s="4"/>
    </row>
    <row r="3" spans="1:26" ht="15.75" customHeight="1" x14ac:dyDescent="0.15">
      <c r="A3" s="2" t="s">
        <v>126</v>
      </c>
      <c r="B3" s="2">
        <v>70</v>
      </c>
      <c r="C3" s="2">
        <v>80</v>
      </c>
      <c r="E3" s="4" t="str">
        <v>Banana</v>
      </c>
      <c r="F3" s="4"/>
    </row>
    <row r="4" spans="1:26" ht="15.75" customHeight="1" x14ac:dyDescent="0.15">
      <c r="A4" s="2" t="s">
        <v>127</v>
      </c>
      <c r="B4" s="2">
        <v>40</v>
      </c>
      <c r="C4" s="2">
        <v>60</v>
      </c>
      <c r="E4" s="4" t="str">
        <v>Arancia</v>
      </c>
      <c r="F4" s="4"/>
    </row>
    <row r="5" spans="1:26" ht="15.75" customHeight="1" x14ac:dyDescent="0.15">
      <c r="A5" s="2" t="s">
        <v>125</v>
      </c>
      <c r="B5" s="2">
        <v>20</v>
      </c>
      <c r="C5" s="2">
        <v>100</v>
      </c>
      <c r="E5" s="4" t="str">
        <v>Pera</v>
      </c>
      <c r="F5" s="4"/>
    </row>
    <row r="6" spans="1:26" ht="15.75" customHeight="1" x14ac:dyDescent="0.15">
      <c r="A6" s="2" t="s">
        <v>128</v>
      </c>
      <c r="B6" s="2">
        <v>90</v>
      </c>
      <c r="C6" s="2">
        <v>30</v>
      </c>
      <c r="E6" s="4" t="str">
        <v>Uva</v>
      </c>
      <c r="F6" s="4"/>
    </row>
    <row r="7" spans="1:26" ht="15.75" customHeight="1" x14ac:dyDescent="0.15">
      <c r="A7" s="2" t="s">
        <v>126</v>
      </c>
      <c r="B7" s="2">
        <v>50</v>
      </c>
      <c r="C7" s="2">
        <v>40</v>
      </c>
    </row>
    <row r="8" spans="1:26" ht="15.75" customHeight="1" x14ac:dyDescent="0.15">
      <c r="A8" s="2" t="s">
        <v>127</v>
      </c>
      <c r="B8" s="2">
        <v>60</v>
      </c>
      <c r="C8" s="2">
        <v>55</v>
      </c>
    </row>
    <row r="9" spans="1:26" ht="15.75" customHeight="1" x14ac:dyDescent="0.15">
      <c r="A9" s="2" t="s">
        <v>125</v>
      </c>
      <c r="B9" s="2">
        <v>45</v>
      </c>
    </row>
    <row r="10" spans="1:26" ht="15.75" customHeight="1" x14ac:dyDescent="0.15">
      <c r="A10" s="2" t="s">
        <v>126</v>
      </c>
      <c r="B10" s="2">
        <v>25</v>
      </c>
      <c r="C10" s="2">
        <v>85</v>
      </c>
    </row>
    <row r="11" spans="1:26" ht="15.75" customHeight="1" x14ac:dyDescent="0.15">
      <c r="A11" s="2" t="s">
        <v>128</v>
      </c>
      <c r="B11" s="2">
        <v>35</v>
      </c>
      <c r="C11" s="2">
        <v>50</v>
      </c>
    </row>
    <row r="12" spans="1:26" ht="15.75" customHeight="1" x14ac:dyDescent="0.15">
      <c r="A12" s="2" t="s">
        <v>129</v>
      </c>
      <c r="B12" s="2">
        <v>60</v>
      </c>
      <c r="C12" s="2">
        <v>95</v>
      </c>
    </row>
    <row r="13" spans="1:26" ht="15.75" customHeight="1" x14ac:dyDescent="0.15">
      <c r="A13" s="2" t="s">
        <v>127</v>
      </c>
      <c r="B13" s="2">
        <v>80</v>
      </c>
    </row>
    <row r="14" spans="1:26" ht="15.75" customHeight="1" x14ac:dyDescent="0.15">
      <c r="A14" s="2" t="s">
        <v>126</v>
      </c>
      <c r="B14" s="2">
        <v>40</v>
      </c>
      <c r="C14" s="2">
        <v>45</v>
      </c>
    </row>
    <row r="15" spans="1:26" ht="15.75" customHeight="1" x14ac:dyDescent="0.15">
      <c r="A15" s="2" t="s">
        <v>125</v>
      </c>
      <c r="B15" s="2">
        <v>65</v>
      </c>
      <c r="C15" s="2">
        <v>65</v>
      </c>
    </row>
    <row r="16" spans="1:26" ht="15.75" customHeight="1" x14ac:dyDescent="0.15">
      <c r="A16" s="2" t="s">
        <v>127</v>
      </c>
      <c r="B16" s="2">
        <v>55</v>
      </c>
      <c r="C16" s="2">
        <v>30</v>
      </c>
    </row>
    <row r="17" spans="1:3" ht="15.75" customHeight="1" x14ac:dyDescent="0.15">
      <c r="A17" s="2" t="s">
        <v>128</v>
      </c>
      <c r="B17" s="2">
        <v>70</v>
      </c>
    </row>
    <row r="18" spans="1:3" ht="15.75" customHeight="1" x14ac:dyDescent="0.15">
      <c r="A18" s="2" t="s">
        <v>126</v>
      </c>
      <c r="B18" s="2">
        <v>45</v>
      </c>
      <c r="C18" s="2">
        <v>80</v>
      </c>
    </row>
    <row r="19" spans="1:3" ht="15.75" customHeight="1" x14ac:dyDescent="0.15">
      <c r="A19" s="2" t="s">
        <v>125</v>
      </c>
      <c r="B19" s="2">
        <v>25</v>
      </c>
      <c r="C19" s="2">
        <v>60</v>
      </c>
    </row>
    <row r="20" spans="1:3" ht="15.75" customHeight="1" x14ac:dyDescent="0.15">
      <c r="A20" s="2" t="s">
        <v>126</v>
      </c>
      <c r="B20" s="2">
        <v>35</v>
      </c>
    </row>
    <row r="21" spans="1:3" ht="15.75" customHeight="1" x14ac:dyDescent="0.15">
      <c r="A21" s="2" t="s">
        <v>127</v>
      </c>
      <c r="B21" s="2">
        <v>60</v>
      </c>
      <c r="C21" s="2">
        <v>30</v>
      </c>
    </row>
    <row r="22" spans="1:3" ht="15.75" customHeight="1" x14ac:dyDescent="0.15">
      <c r="A22" s="2" t="s">
        <v>125</v>
      </c>
      <c r="B22" s="2">
        <v>70</v>
      </c>
      <c r="C22" s="2">
        <v>40</v>
      </c>
    </row>
    <row r="23" spans="1:3" ht="15.75" customHeight="1" x14ac:dyDescent="0.15">
      <c r="A23" s="2" t="s">
        <v>126</v>
      </c>
      <c r="B23" s="2">
        <v>45</v>
      </c>
      <c r="C23" s="2">
        <v>55</v>
      </c>
    </row>
    <row r="24" spans="1:3" ht="15.75" customHeight="1" x14ac:dyDescent="0.15">
      <c r="A24" s="2" t="s">
        <v>128</v>
      </c>
      <c r="B24" s="2">
        <v>25</v>
      </c>
      <c r="C24" s="2">
        <v>70</v>
      </c>
    </row>
    <row r="25" spans="1:3" ht="15.75" customHeight="1" x14ac:dyDescent="0.15">
      <c r="A25" s="2" t="s">
        <v>129</v>
      </c>
      <c r="B25" s="2">
        <v>35</v>
      </c>
    </row>
    <row r="26" spans="1:3" ht="15.75" customHeight="1" x14ac:dyDescent="0.15">
      <c r="A26" s="2" t="s">
        <v>127</v>
      </c>
      <c r="B26" s="2">
        <v>60</v>
      </c>
      <c r="C26" s="2">
        <v>50</v>
      </c>
    </row>
    <row r="27" spans="1:3" ht="15.75" customHeight="1" x14ac:dyDescent="0.15">
      <c r="A27" s="2" t="s">
        <v>126</v>
      </c>
      <c r="B27" s="2">
        <v>80</v>
      </c>
      <c r="C27" s="2">
        <v>95</v>
      </c>
    </row>
    <row r="28" spans="1:3" ht="15.75" customHeight="1" x14ac:dyDescent="0.15">
      <c r="A28" s="2" t="s">
        <v>125</v>
      </c>
      <c r="B28" s="2">
        <v>40</v>
      </c>
      <c r="C28" s="2">
        <v>75</v>
      </c>
    </row>
    <row r="29" spans="1:3" ht="15.75" customHeight="1" x14ac:dyDescent="0.15">
      <c r="A29" s="2" t="s">
        <v>127</v>
      </c>
      <c r="B29" s="2">
        <v>65</v>
      </c>
      <c r="C29" s="2">
        <v>45</v>
      </c>
    </row>
    <row r="30" spans="1:3" ht="15.75" customHeight="1" x14ac:dyDescent="0.15">
      <c r="A30" s="2" t="s">
        <v>126</v>
      </c>
      <c r="B30" s="2">
        <v>55</v>
      </c>
      <c r="C30" s="2">
        <v>65</v>
      </c>
    </row>
    <row r="31" spans="1:3" ht="15.75" customHeight="1" x14ac:dyDescent="0.15">
      <c r="A31" s="2" t="s">
        <v>128</v>
      </c>
      <c r="B31" s="2">
        <v>70</v>
      </c>
      <c r="C31" s="2">
        <v>30</v>
      </c>
    </row>
    <row r="32" spans="1:3" ht="15.75" customHeight="1" x14ac:dyDescent="0.15">
      <c r="A32" s="2" t="s">
        <v>125</v>
      </c>
      <c r="B32" s="2">
        <v>45</v>
      </c>
    </row>
    <row r="33" spans="1:3" ht="15.75" customHeight="1" x14ac:dyDescent="0.15">
      <c r="A33" s="2" t="s">
        <v>126</v>
      </c>
      <c r="B33" s="2">
        <v>25</v>
      </c>
      <c r="C33" s="2">
        <v>80</v>
      </c>
    </row>
    <row r="34" spans="1:3" ht="15.75" customHeight="1" x14ac:dyDescent="0.15">
      <c r="A34" s="2" t="s">
        <v>127</v>
      </c>
      <c r="B34" s="2">
        <v>35</v>
      </c>
      <c r="C34" s="2">
        <v>60</v>
      </c>
    </row>
    <row r="35" spans="1:3" ht="15.75" customHeight="1" x14ac:dyDescent="0.15">
      <c r="A35" s="2" t="s">
        <v>125</v>
      </c>
      <c r="B35" s="2">
        <v>60</v>
      </c>
      <c r="C35" s="2">
        <v>100</v>
      </c>
    </row>
    <row r="36" spans="1:3" ht="15.75" customHeight="1" x14ac:dyDescent="0.15">
      <c r="A36" s="2" t="s">
        <v>126</v>
      </c>
      <c r="B36" s="2">
        <v>80</v>
      </c>
      <c r="C36" s="2">
        <v>30</v>
      </c>
    </row>
    <row r="37" spans="1:3" ht="15.75" customHeight="1" x14ac:dyDescent="0.15">
      <c r="A37" s="2" t="s">
        <v>128</v>
      </c>
      <c r="B37" s="2">
        <v>40</v>
      </c>
    </row>
    <row r="38" spans="1:3" ht="15.75" customHeight="1" x14ac:dyDescent="0.15">
      <c r="A38" s="2" t="s">
        <v>129</v>
      </c>
      <c r="B38" s="2">
        <v>65</v>
      </c>
      <c r="C38" s="2">
        <v>55</v>
      </c>
    </row>
    <row r="39" spans="1:3" ht="15.75" customHeight="1" x14ac:dyDescent="0.15">
      <c r="A39" s="2" t="s">
        <v>127</v>
      </c>
      <c r="B39" s="2">
        <v>55</v>
      </c>
      <c r="C39" s="2">
        <v>70</v>
      </c>
    </row>
    <row r="40" spans="1:3" ht="15.75" customHeight="1" x14ac:dyDescent="0.15">
      <c r="A40" s="2" t="s">
        <v>126</v>
      </c>
      <c r="B40" s="2">
        <v>70</v>
      </c>
      <c r="C40" s="2">
        <v>85</v>
      </c>
    </row>
    <row r="41" spans="1:3" ht="15.75" customHeight="1" x14ac:dyDescent="0.15">
      <c r="A41" s="2" t="s">
        <v>125</v>
      </c>
      <c r="B41" s="2">
        <v>40</v>
      </c>
      <c r="C41" s="2">
        <v>50</v>
      </c>
    </row>
    <row r="42" spans="1:3" ht="15.75" customHeight="1" x14ac:dyDescent="0.15">
      <c r="A42" s="2" t="s">
        <v>127</v>
      </c>
      <c r="B42" s="2">
        <v>20</v>
      </c>
      <c r="C42" s="2">
        <v>95</v>
      </c>
    </row>
    <row r="43" spans="1:3" ht="15.75" customHeight="1" x14ac:dyDescent="0.15">
      <c r="A43" s="2" t="s">
        <v>126</v>
      </c>
      <c r="B43" s="2">
        <v>90</v>
      </c>
      <c r="C43" s="2">
        <v>75</v>
      </c>
    </row>
    <row r="44" spans="1:3" ht="15.75" customHeight="1" x14ac:dyDescent="0.15">
      <c r="A44" s="2" t="s">
        <v>128</v>
      </c>
      <c r="B44" s="2">
        <v>50</v>
      </c>
      <c r="C44" s="2">
        <v>45</v>
      </c>
    </row>
    <row r="45" spans="1:3" ht="13" x14ac:dyDescent="0.15">
      <c r="A45" s="2" t="s">
        <v>125</v>
      </c>
      <c r="B45" s="2">
        <v>60</v>
      </c>
      <c r="C45" s="2">
        <v>65</v>
      </c>
    </row>
    <row r="46" spans="1:3" ht="13" x14ac:dyDescent="0.15">
      <c r="A46" s="2" t="s">
        <v>126</v>
      </c>
      <c r="B46" s="2">
        <v>45</v>
      </c>
    </row>
    <row r="47" spans="1:3" ht="13" x14ac:dyDescent="0.15">
      <c r="A47" s="2" t="s">
        <v>127</v>
      </c>
      <c r="B47" s="2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51CB-C474-164F-B89A-40988E99FA70}">
  <dimension ref="A1"/>
  <sheetViews>
    <sheetView workbookViewId="0">
      <selection activeCell="K17" sqref="K17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AAC0-B1D8-A64E-B99B-F879AFEEB81B}">
  <dimension ref="A8:O55"/>
  <sheetViews>
    <sheetView tabSelected="1" zoomScale="125" workbookViewId="0">
      <selection activeCell="I11" sqref="I11:O17"/>
    </sheetView>
  </sheetViews>
  <sheetFormatPr baseColWidth="10" defaultRowHeight="13" x14ac:dyDescent="0.15"/>
  <cols>
    <col min="1" max="1" width="11" customWidth="1"/>
    <col min="4" max="4" width="15.33203125" customWidth="1"/>
    <col min="5" max="5" width="11.5" customWidth="1"/>
    <col min="6" max="6" width="12.6640625" customWidth="1"/>
    <col min="7" max="7" width="18.33203125" customWidth="1"/>
  </cols>
  <sheetData>
    <row r="8" spans="1:15" ht="14" thickBot="1" x14ac:dyDescent="0.2"/>
    <row r="9" spans="1:15" ht="15" thickBot="1" x14ac:dyDescent="0.2">
      <c r="A9" s="1" t="s">
        <v>123</v>
      </c>
      <c r="B9" s="1" t="s">
        <v>124</v>
      </c>
      <c r="C9" s="1" t="s">
        <v>3</v>
      </c>
      <c r="D9" s="108" t="s">
        <v>131</v>
      </c>
      <c r="F9" s="26" t="s">
        <v>130</v>
      </c>
      <c r="G9" s="63" t="s">
        <v>131</v>
      </c>
      <c r="I9" s="116" t="s">
        <v>224</v>
      </c>
      <c r="J9" s="117"/>
      <c r="K9" s="117"/>
      <c r="L9" s="117"/>
      <c r="M9" s="117"/>
      <c r="N9" s="117"/>
      <c r="O9" s="118"/>
    </row>
    <row r="10" spans="1:15" ht="14" thickBot="1" x14ac:dyDescent="0.2">
      <c r="A10" s="2" t="s">
        <v>127</v>
      </c>
      <c r="B10" s="2">
        <v>40</v>
      </c>
      <c r="C10" s="2">
        <v>60</v>
      </c>
      <c r="D10" s="109">
        <f t="shared" ref="D10:D55" si="0">IFERROR(C10/B10,"")</f>
        <v>1.5</v>
      </c>
      <c r="F10" s="110" t="str" cm="1">
        <f t="array" ref="F10:F14">_xlfn.UNIQUE(Listino[FRUTTA])</f>
        <v>Arancia</v>
      </c>
      <c r="G10" s="111">
        <f>AVERAGEIFS(Listino[Prezzo unitario],Listino[FRUTTA],F10,Listino[Prezzo unitario],"&lt;&gt;0")</f>
        <v>1.413863913863914</v>
      </c>
    </row>
    <row r="11" spans="1:15" x14ac:dyDescent="0.15">
      <c r="A11" s="2" t="s">
        <v>127</v>
      </c>
      <c r="B11" s="2">
        <v>60</v>
      </c>
      <c r="C11" s="2">
        <v>55</v>
      </c>
      <c r="D11" s="109">
        <f t="shared" si="0"/>
        <v>0.91666666666666663</v>
      </c>
      <c r="F11" s="112" t="str">
        <v>Banana</v>
      </c>
      <c r="G11" s="113">
        <f>AVERAGEIFS(Listino[Prezzo unitario],Listino[FRUTTA],F11,Listino[Prezzo unitario],"&lt;&gt;0")</f>
        <v>1.4549828643578644</v>
      </c>
      <c r="I11" s="41" t="s">
        <v>225</v>
      </c>
      <c r="J11" s="97"/>
      <c r="K11" s="97"/>
      <c r="L11" s="97"/>
      <c r="M11" s="97"/>
      <c r="N11" s="97"/>
      <c r="O11" s="98"/>
    </row>
    <row r="12" spans="1:15" x14ac:dyDescent="0.15">
      <c r="A12" s="2" t="s">
        <v>127</v>
      </c>
      <c r="B12" s="2">
        <v>80</v>
      </c>
      <c r="D12" s="109">
        <f t="shared" si="0"/>
        <v>0</v>
      </c>
      <c r="F12" s="112" t="str">
        <v>Mela</v>
      </c>
      <c r="G12" s="113">
        <f>AVERAGEIFS(Listino[Prezzo unitario],Listino[FRUTTA],F12,Listino[Prezzo unitario],"&lt;&gt;0")</f>
        <v>1.8558035714285714</v>
      </c>
      <c r="I12" s="99"/>
      <c r="J12" s="100"/>
      <c r="K12" s="100"/>
      <c r="L12" s="100"/>
      <c r="M12" s="100"/>
      <c r="N12" s="100"/>
      <c r="O12" s="101"/>
    </row>
    <row r="13" spans="1:15" x14ac:dyDescent="0.15">
      <c r="A13" s="2" t="s">
        <v>127</v>
      </c>
      <c r="B13" s="2">
        <v>55</v>
      </c>
      <c r="C13" s="2">
        <v>30</v>
      </c>
      <c r="D13" s="109">
        <f t="shared" si="0"/>
        <v>0.54545454545454541</v>
      </c>
      <c r="F13" s="112" t="str">
        <v>Pera</v>
      </c>
      <c r="G13" s="113">
        <f>AVERAGEIFS(Listino[Prezzo unitario],Listino[FRUTTA],F13,Listino[Prezzo unitario],"&lt;&gt;0")</f>
        <v>1.1780952380952381</v>
      </c>
      <c r="I13" s="99"/>
      <c r="J13" s="100"/>
      <c r="K13" s="100"/>
      <c r="L13" s="100"/>
      <c r="M13" s="100"/>
      <c r="N13" s="100"/>
      <c r="O13" s="101"/>
    </row>
    <row r="14" spans="1:15" ht="14" thickBot="1" x14ac:dyDescent="0.2">
      <c r="A14" s="2" t="s">
        <v>127</v>
      </c>
      <c r="B14" s="2">
        <v>60</v>
      </c>
      <c r="C14" s="2">
        <v>30</v>
      </c>
      <c r="D14" s="109">
        <f t="shared" si="0"/>
        <v>0.5</v>
      </c>
      <c r="F14" s="114" t="str">
        <v>Uva</v>
      </c>
      <c r="G14" s="115">
        <f>AVERAGEIFS(Listino[Prezzo unitario],Listino[FRUTTA],F14,Listino[Prezzo unitario],"&lt;&gt;0")</f>
        <v>1.2147435897435896</v>
      </c>
      <c r="I14" s="99"/>
      <c r="J14" s="100"/>
      <c r="K14" s="100"/>
      <c r="L14" s="100"/>
      <c r="M14" s="100"/>
      <c r="N14" s="100"/>
      <c r="O14" s="101"/>
    </row>
    <row r="15" spans="1:15" x14ac:dyDescent="0.15">
      <c r="A15" s="2" t="s">
        <v>127</v>
      </c>
      <c r="B15" s="2">
        <v>60</v>
      </c>
      <c r="C15" s="2">
        <v>50</v>
      </c>
      <c r="D15" s="109">
        <f t="shared" si="0"/>
        <v>0.83333333333333337</v>
      </c>
      <c r="I15" s="99"/>
      <c r="J15" s="100"/>
      <c r="K15" s="100"/>
      <c r="L15" s="100"/>
      <c r="M15" s="100"/>
      <c r="N15" s="100"/>
      <c r="O15" s="101"/>
    </row>
    <row r="16" spans="1:15" x14ac:dyDescent="0.15">
      <c r="A16" s="2" t="s">
        <v>127</v>
      </c>
      <c r="B16" s="2">
        <v>65</v>
      </c>
      <c r="C16" s="2">
        <v>45</v>
      </c>
      <c r="D16" s="109">
        <f t="shared" si="0"/>
        <v>0.69230769230769229</v>
      </c>
      <c r="I16" s="99"/>
      <c r="J16" s="100"/>
      <c r="K16" s="100"/>
      <c r="L16" s="100"/>
      <c r="M16" s="100"/>
      <c r="N16" s="100"/>
      <c r="O16" s="101"/>
    </row>
    <row r="17" spans="1:15" ht="14" thickBot="1" x14ac:dyDescent="0.2">
      <c r="A17" s="2" t="s">
        <v>127</v>
      </c>
      <c r="B17" s="2">
        <v>35</v>
      </c>
      <c r="C17" s="2">
        <v>60</v>
      </c>
      <c r="D17" s="109">
        <f t="shared" si="0"/>
        <v>1.7142857142857142</v>
      </c>
      <c r="I17" s="102"/>
      <c r="J17" s="103"/>
      <c r="K17" s="103"/>
      <c r="L17" s="103"/>
      <c r="M17" s="103"/>
      <c r="N17" s="103"/>
      <c r="O17" s="104"/>
    </row>
    <row r="18" spans="1:15" x14ac:dyDescent="0.15">
      <c r="A18" s="2" t="s">
        <v>127</v>
      </c>
      <c r="B18" s="2">
        <v>55</v>
      </c>
      <c r="C18" s="2">
        <v>70</v>
      </c>
      <c r="D18" s="109">
        <f t="shared" si="0"/>
        <v>1.2727272727272727</v>
      </c>
    </row>
    <row r="19" spans="1:15" x14ac:dyDescent="0.15">
      <c r="A19" s="2" t="s">
        <v>127</v>
      </c>
      <c r="B19" s="2">
        <v>20</v>
      </c>
      <c r="C19" s="2">
        <v>95</v>
      </c>
      <c r="D19" s="109">
        <f t="shared" si="0"/>
        <v>4.75</v>
      </c>
    </row>
    <row r="20" spans="1:15" x14ac:dyDescent="0.15">
      <c r="A20" s="2" t="s">
        <v>127</v>
      </c>
      <c r="B20" s="2">
        <v>25</v>
      </c>
      <c r="D20" s="109">
        <f t="shared" si="0"/>
        <v>0</v>
      </c>
    </row>
    <row r="21" spans="1:15" x14ac:dyDescent="0.15">
      <c r="A21" s="2" t="s">
        <v>126</v>
      </c>
      <c r="B21" s="2">
        <v>70</v>
      </c>
      <c r="C21" s="2">
        <v>80</v>
      </c>
      <c r="D21" s="109">
        <f t="shared" si="0"/>
        <v>1.1428571428571428</v>
      </c>
    </row>
    <row r="22" spans="1:15" x14ac:dyDescent="0.15">
      <c r="A22" s="2" t="s">
        <v>126</v>
      </c>
      <c r="B22" s="2">
        <v>50</v>
      </c>
      <c r="C22" s="2">
        <v>40</v>
      </c>
      <c r="D22" s="109">
        <f t="shared" si="0"/>
        <v>0.8</v>
      </c>
    </row>
    <row r="23" spans="1:15" x14ac:dyDescent="0.15">
      <c r="A23" s="2" t="s">
        <v>126</v>
      </c>
      <c r="B23" s="2">
        <v>25</v>
      </c>
      <c r="C23" s="2">
        <v>85</v>
      </c>
      <c r="D23" s="109">
        <f t="shared" si="0"/>
        <v>3.4</v>
      </c>
    </row>
    <row r="24" spans="1:15" x14ac:dyDescent="0.15">
      <c r="A24" s="2" t="s">
        <v>126</v>
      </c>
      <c r="B24" s="2">
        <v>40</v>
      </c>
      <c r="C24" s="2">
        <v>45</v>
      </c>
      <c r="D24" s="109">
        <f t="shared" si="0"/>
        <v>1.125</v>
      </c>
    </row>
    <row r="25" spans="1:15" x14ac:dyDescent="0.15">
      <c r="A25" s="2" t="s">
        <v>126</v>
      </c>
      <c r="B25" s="2">
        <v>45</v>
      </c>
      <c r="C25" s="2">
        <v>80</v>
      </c>
      <c r="D25" s="109">
        <f t="shared" si="0"/>
        <v>1.7777777777777777</v>
      </c>
    </row>
    <row r="26" spans="1:15" x14ac:dyDescent="0.15">
      <c r="A26" s="2" t="s">
        <v>126</v>
      </c>
      <c r="B26" s="2">
        <v>35</v>
      </c>
      <c r="D26" s="109">
        <f t="shared" si="0"/>
        <v>0</v>
      </c>
    </row>
    <row r="27" spans="1:15" x14ac:dyDescent="0.15">
      <c r="A27" s="2" t="s">
        <v>126</v>
      </c>
      <c r="B27" s="2">
        <v>45</v>
      </c>
      <c r="C27" s="2">
        <v>55</v>
      </c>
      <c r="D27" s="109">
        <f t="shared" si="0"/>
        <v>1.2222222222222223</v>
      </c>
    </row>
    <row r="28" spans="1:15" x14ac:dyDescent="0.15">
      <c r="A28" s="2" t="s">
        <v>126</v>
      </c>
      <c r="B28" s="2">
        <v>80</v>
      </c>
      <c r="C28" s="2">
        <v>95</v>
      </c>
      <c r="D28" s="109">
        <f t="shared" si="0"/>
        <v>1.1875</v>
      </c>
    </row>
    <row r="29" spans="1:15" x14ac:dyDescent="0.15">
      <c r="A29" s="2" t="s">
        <v>126</v>
      </c>
      <c r="B29" s="2">
        <v>55</v>
      </c>
      <c r="C29" s="2">
        <v>65</v>
      </c>
      <c r="D29" s="109">
        <f t="shared" si="0"/>
        <v>1.1818181818181819</v>
      </c>
    </row>
    <row r="30" spans="1:15" x14ac:dyDescent="0.15">
      <c r="A30" s="2" t="s">
        <v>126</v>
      </c>
      <c r="B30" s="2">
        <v>25</v>
      </c>
      <c r="C30" s="2">
        <v>80</v>
      </c>
      <c r="D30" s="109">
        <f t="shared" si="0"/>
        <v>3.2</v>
      </c>
    </row>
    <row r="31" spans="1:15" x14ac:dyDescent="0.15">
      <c r="A31" s="2" t="s">
        <v>126</v>
      </c>
      <c r="B31" s="2">
        <v>80</v>
      </c>
      <c r="C31" s="2">
        <v>30</v>
      </c>
      <c r="D31" s="109">
        <f t="shared" si="0"/>
        <v>0.375</v>
      </c>
    </row>
    <row r="32" spans="1:15" x14ac:dyDescent="0.15">
      <c r="A32" s="2" t="s">
        <v>126</v>
      </c>
      <c r="B32" s="2">
        <v>70</v>
      </c>
      <c r="C32" s="2">
        <v>85</v>
      </c>
      <c r="D32" s="109">
        <f t="shared" si="0"/>
        <v>1.2142857142857142</v>
      </c>
    </row>
    <row r="33" spans="1:4" x14ac:dyDescent="0.15">
      <c r="A33" s="2" t="s">
        <v>126</v>
      </c>
      <c r="B33" s="2">
        <v>90</v>
      </c>
      <c r="C33" s="2">
        <v>75</v>
      </c>
      <c r="D33" s="109">
        <f t="shared" si="0"/>
        <v>0.83333333333333337</v>
      </c>
    </row>
    <row r="34" spans="1:4" x14ac:dyDescent="0.15">
      <c r="A34" s="2" t="s">
        <v>126</v>
      </c>
      <c r="B34" s="2">
        <v>45</v>
      </c>
      <c r="D34" s="109">
        <f t="shared" si="0"/>
        <v>0</v>
      </c>
    </row>
    <row r="35" spans="1:4" x14ac:dyDescent="0.15">
      <c r="A35" s="2" t="s">
        <v>125</v>
      </c>
      <c r="B35" s="2">
        <v>55</v>
      </c>
      <c r="D35" s="109">
        <f t="shared" si="0"/>
        <v>0</v>
      </c>
    </row>
    <row r="36" spans="1:4" x14ac:dyDescent="0.15">
      <c r="A36" s="2" t="s">
        <v>125</v>
      </c>
      <c r="B36" s="2">
        <v>20</v>
      </c>
      <c r="C36" s="2">
        <v>100</v>
      </c>
      <c r="D36" s="109">
        <f t="shared" si="0"/>
        <v>5</v>
      </c>
    </row>
    <row r="37" spans="1:4" x14ac:dyDescent="0.15">
      <c r="A37" s="2" t="s">
        <v>125</v>
      </c>
      <c r="B37" s="2">
        <v>45</v>
      </c>
      <c r="D37" s="109">
        <f t="shared" si="0"/>
        <v>0</v>
      </c>
    </row>
    <row r="38" spans="1:4" x14ac:dyDescent="0.15">
      <c r="A38" s="2" t="s">
        <v>125</v>
      </c>
      <c r="B38" s="2">
        <v>65</v>
      </c>
      <c r="C38" s="2">
        <v>65</v>
      </c>
      <c r="D38" s="109">
        <f t="shared" si="0"/>
        <v>1</v>
      </c>
    </row>
    <row r="39" spans="1:4" x14ac:dyDescent="0.15">
      <c r="A39" s="2" t="s">
        <v>125</v>
      </c>
      <c r="B39" s="2">
        <v>25</v>
      </c>
      <c r="C39" s="2">
        <v>60</v>
      </c>
      <c r="D39" s="109">
        <f t="shared" si="0"/>
        <v>2.4</v>
      </c>
    </row>
    <row r="40" spans="1:4" x14ac:dyDescent="0.15">
      <c r="A40" s="2" t="s">
        <v>125</v>
      </c>
      <c r="B40" s="2">
        <v>70</v>
      </c>
      <c r="C40" s="2">
        <v>40</v>
      </c>
      <c r="D40" s="109">
        <f t="shared" si="0"/>
        <v>0.5714285714285714</v>
      </c>
    </row>
    <row r="41" spans="1:4" x14ac:dyDescent="0.15">
      <c r="A41" s="2" t="s">
        <v>125</v>
      </c>
      <c r="B41" s="2">
        <v>40</v>
      </c>
      <c r="C41" s="2">
        <v>75</v>
      </c>
      <c r="D41" s="109">
        <f t="shared" si="0"/>
        <v>1.875</v>
      </c>
    </row>
    <row r="42" spans="1:4" x14ac:dyDescent="0.15">
      <c r="A42" s="2" t="s">
        <v>125</v>
      </c>
      <c r="B42" s="2">
        <v>45</v>
      </c>
      <c r="D42" s="109">
        <f t="shared" si="0"/>
        <v>0</v>
      </c>
    </row>
    <row r="43" spans="1:4" x14ac:dyDescent="0.15">
      <c r="A43" s="2" t="s">
        <v>125</v>
      </c>
      <c r="B43" s="2">
        <v>60</v>
      </c>
      <c r="C43" s="2">
        <v>100</v>
      </c>
      <c r="D43" s="109">
        <f t="shared" si="0"/>
        <v>1.6666666666666667</v>
      </c>
    </row>
    <row r="44" spans="1:4" x14ac:dyDescent="0.15">
      <c r="A44" s="2" t="s">
        <v>125</v>
      </c>
      <c r="B44" s="2">
        <v>40</v>
      </c>
      <c r="C44" s="2">
        <v>50</v>
      </c>
      <c r="D44" s="109">
        <f t="shared" si="0"/>
        <v>1.25</v>
      </c>
    </row>
    <row r="45" spans="1:4" x14ac:dyDescent="0.15">
      <c r="A45" s="2" t="s">
        <v>125</v>
      </c>
      <c r="B45" s="2">
        <v>60</v>
      </c>
      <c r="C45" s="2">
        <v>65</v>
      </c>
      <c r="D45" s="109">
        <f t="shared" si="0"/>
        <v>1.0833333333333333</v>
      </c>
    </row>
    <row r="46" spans="1:4" x14ac:dyDescent="0.15">
      <c r="A46" s="2" t="s">
        <v>128</v>
      </c>
      <c r="B46" s="2">
        <v>90</v>
      </c>
      <c r="C46" s="2">
        <v>30</v>
      </c>
      <c r="D46" s="109">
        <f t="shared" si="0"/>
        <v>0.33333333333333331</v>
      </c>
    </row>
    <row r="47" spans="1:4" x14ac:dyDescent="0.15">
      <c r="A47" s="2" t="s">
        <v>128</v>
      </c>
      <c r="B47" s="2">
        <v>35</v>
      </c>
      <c r="C47" s="2">
        <v>50</v>
      </c>
      <c r="D47" s="109">
        <f t="shared" si="0"/>
        <v>1.4285714285714286</v>
      </c>
    </row>
    <row r="48" spans="1:4" x14ac:dyDescent="0.15">
      <c r="A48" s="2" t="s">
        <v>128</v>
      </c>
      <c r="B48" s="2">
        <v>70</v>
      </c>
      <c r="D48" s="109">
        <f t="shared" si="0"/>
        <v>0</v>
      </c>
    </row>
    <row r="49" spans="1:4" x14ac:dyDescent="0.15">
      <c r="A49" s="2" t="s">
        <v>128</v>
      </c>
      <c r="B49" s="2">
        <v>25</v>
      </c>
      <c r="C49" s="2">
        <v>70</v>
      </c>
      <c r="D49" s="109">
        <f t="shared" si="0"/>
        <v>2.8</v>
      </c>
    </row>
    <row r="50" spans="1:4" x14ac:dyDescent="0.15">
      <c r="A50" s="2" t="s">
        <v>128</v>
      </c>
      <c r="B50" s="2">
        <v>70</v>
      </c>
      <c r="C50" s="2">
        <v>30</v>
      </c>
      <c r="D50" s="109">
        <f t="shared" si="0"/>
        <v>0.42857142857142855</v>
      </c>
    </row>
    <row r="51" spans="1:4" x14ac:dyDescent="0.15">
      <c r="A51" s="2" t="s">
        <v>128</v>
      </c>
      <c r="B51" s="2">
        <v>40</v>
      </c>
      <c r="D51" s="109">
        <f t="shared" si="0"/>
        <v>0</v>
      </c>
    </row>
    <row r="52" spans="1:4" x14ac:dyDescent="0.15">
      <c r="A52" s="2" t="s">
        <v>128</v>
      </c>
      <c r="B52" s="2">
        <v>50</v>
      </c>
      <c r="C52" s="2">
        <v>45</v>
      </c>
      <c r="D52" s="109">
        <f t="shared" si="0"/>
        <v>0.9</v>
      </c>
    </row>
    <row r="53" spans="1:4" x14ac:dyDescent="0.15">
      <c r="A53" s="2" t="s">
        <v>129</v>
      </c>
      <c r="B53" s="2">
        <v>60</v>
      </c>
      <c r="C53" s="2">
        <v>95</v>
      </c>
      <c r="D53" s="109">
        <f t="shared" si="0"/>
        <v>1.5833333333333333</v>
      </c>
    </row>
    <row r="54" spans="1:4" x14ac:dyDescent="0.15">
      <c r="A54" s="2" t="s">
        <v>129</v>
      </c>
      <c r="B54" s="2">
        <v>35</v>
      </c>
      <c r="D54" s="109">
        <f t="shared" si="0"/>
        <v>0</v>
      </c>
    </row>
    <row r="55" spans="1:4" x14ac:dyDescent="0.15">
      <c r="A55" s="2" t="s">
        <v>129</v>
      </c>
      <c r="B55" s="2">
        <v>65</v>
      </c>
      <c r="C55" s="2">
        <v>55</v>
      </c>
      <c r="D55" s="109">
        <f t="shared" si="0"/>
        <v>0.84615384615384615</v>
      </c>
    </row>
  </sheetData>
  <mergeCells count="1">
    <mergeCell ref="I11:O17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A70F-8A27-B04C-B5F9-47F951283DD2}">
  <dimension ref="A1:Q87"/>
  <sheetViews>
    <sheetView zoomScale="79" workbookViewId="0">
      <selection sqref="A1:XFD1048576"/>
    </sheetView>
  </sheetViews>
  <sheetFormatPr baseColWidth="10" defaultRowHeight="13" x14ac:dyDescent="0.15"/>
  <cols>
    <col min="1" max="1" width="9.5" customWidth="1"/>
    <col min="2" max="2" width="23.5" bestFit="1" customWidth="1"/>
    <col min="3" max="3" width="18.33203125" bestFit="1" customWidth="1"/>
    <col min="4" max="4" width="13.83203125" bestFit="1" customWidth="1"/>
    <col min="5" max="5" width="16.6640625" bestFit="1" customWidth="1"/>
    <col min="7" max="7" width="8.1640625" style="35" bestFit="1" customWidth="1"/>
    <col min="8" max="8" width="27.5" style="36" bestFit="1" customWidth="1"/>
    <col min="9" max="9" width="20.6640625" style="36" bestFit="1" customWidth="1"/>
    <col min="10" max="10" width="14.6640625" style="37" customWidth="1"/>
    <col min="11" max="11" width="16.1640625" style="37" customWidth="1"/>
  </cols>
  <sheetData>
    <row r="1" spans="1:17" x14ac:dyDescent="0.15">
      <c r="G1"/>
      <c r="H1"/>
      <c r="I1"/>
      <c r="J1"/>
      <c r="K1"/>
    </row>
    <row r="2" spans="1:17" x14ac:dyDescent="0.15">
      <c r="G2"/>
      <c r="H2"/>
      <c r="I2"/>
      <c r="J2"/>
      <c r="K2"/>
    </row>
    <row r="3" spans="1:17" ht="14" thickBot="1" x14ac:dyDescent="0.2">
      <c r="G3"/>
      <c r="H3"/>
      <c r="I3"/>
      <c r="J3"/>
      <c r="K3"/>
      <c r="L3" s="5"/>
    </row>
    <row r="4" spans="1:17" ht="14" thickBot="1" x14ac:dyDescent="0.2">
      <c r="G4"/>
      <c r="H4"/>
      <c r="I4"/>
      <c r="J4"/>
      <c r="K4"/>
      <c r="L4" s="6" t="s">
        <v>133</v>
      </c>
      <c r="M4" s="7"/>
      <c r="N4" s="8"/>
    </row>
    <row r="5" spans="1:17" x14ac:dyDescent="0.15">
      <c r="G5"/>
      <c r="H5"/>
      <c r="I5"/>
      <c r="J5"/>
      <c r="K5"/>
      <c r="L5" s="9" t="s">
        <v>134</v>
      </c>
      <c r="M5" s="10"/>
      <c r="N5" s="10"/>
      <c r="O5" s="10"/>
      <c r="P5" s="10"/>
      <c r="Q5" s="11"/>
    </row>
    <row r="6" spans="1:17" x14ac:dyDescent="0.15">
      <c r="G6"/>
      <c r="H6"/>
      <c r="I6"/>
      <c r="J6"/>
      <c r="K6"/>
      <c r="L6" s="12"/>
      <c r="M6" s="13"/>
      <c r="N6" s="13"/>
      <c r="O6" s="13"/>
      <c r="P6" s="13"/>
      <c r="Q6" s="14"/>
    </row>
    <row r="7" spans="1:17" x14ac:dyDescent="0.15">
      <c r="G7"/>
      <c r="H7"/>
      <c r="I7"/>
      <c r="J7"/>
      <c r="K7"/>
      <c r="L7" s="12"/>
      <c r="M7" s="13"/>
      <c r="N7" s="13"/>
      <c r="O7" s="13"/>
      <c r="P7" s="13"/>
      <c r="Q7" s="14"/>
    </row>
    <row r="8" spans="1:17" ht="14" thickBot="1" x14ac:dyDescent="0.2">
      <c r="A8" s="15" t="s">
        <v>135</v>
      </c>
      <c r="B8" s="16" t="s">
        <v>136</v>
      </c>
      <c r="C8" s="16" t="s">
        <v>137</v>
      </c>
      <c r="D8" s="17" t="s">
        <v>138</v>
      </c>
      <c r="E8" s="17" t="s">
        <v>139</v>
      </c>
      <c r="G8"/>
      <c r="H8"/>
      <c r="I8"/>
      <c r="J8"/>
      <c r="K8"/>
      <c r="L8" s="18"/>
      <c r="M8" s="19"/>
      <c r="N8" s="19"/>
      <c r="O8" s="19"/>
      <c r="P8" s="19"/>
      <c r="Q8" s="20"/>
    </row>
    <row r="9" spans="1:17" ht="14" thickBot="1" x14ac:dyDescent="0.2">
      <c r="A9" s="21">
        <v>36529</v>
      </c>
      <c r="B9" t="s">
        <v>140</v>
      </c>
      <c r="C9" t="s">
        <v>141</v>
      </c>
      <c r="D9" s="22">
        <v>50000</v>
      </c>
      <c r="E9" s="22">
        <v>16</v>
      </c>
      <c r="G9" s="23" t="s">
        <v>142</v>
      </c>
      <c r="H9" s="24"/>
      <c r="I9" s="25"/>
      <c r="J9" s="26" t="s">
        <v>141</v>
      </c>
      <c r="K9" s="27">
        <f>COUNTIF(Fatture[Categoria],J9)</f>
        <v>11</v>
      </c>
    </row>
    <row r="10" spans="1:17" ht="14" thickBot="1" x14ac:dyDescent="0.2">
      <c r="A10" s="21">
        <v>36534</v>
      </c>
      <c r="B10" t="s">
        <v>144</v>
      </c>
      <c r="C10" t="s">
        <v>141</v>
      </c>
      <c r="D10" s="22">
        <v>29970</v>
      </c>
      <c r="E10" s="22">
        <v>29</v>
      </c>
      <c r="G10" s="28"/>
      <c r="H10" s="28"/>
      <c r="I10" s="28"/>
      <c r="J10" s="29"/>
      <c r="K10" s="28"/>
    </row>
    <row r="11" spans="1:17" ht="14" thickBot="1" x14ac:dyDescent="0.2">
      <c r="A11" s="21">
        <v>36537</v>
      </c>
      <c r="B11" t="s">
        <v>145</v>
      </c>
      <c r="C11" t="s">
        <v>146</v>
      </c>
      <c r="D11" s="22">
        <v>27560</v>
      </c>
      <c r="E11" s="22">
        <v>21</v>
      </c>
      <c r="G11" s="23" t="s">
        <v>147</v>
      </c>
      <c r="H11" s="24"/>
      <c r="I11" s="25"/>
      <c r="J11" s="26" t="s">
        <v>141</v>
      </c>
      <c r="K11" s="30">
        <f>SUMIF(Fatture[Categoria],J11,Fatture[Importo fattura])</f>
        <v>611780</v>
      </c>
    </row>
    <row r="12" spans="1:17" ht="14" thickBot="1" x14ac:dyDescent="0.2">
      <c r="A12" s="21">
        <v>36543</v>
      </c>
      <c r="B12" t="s">
        <v>148</v>
      </c>
      <c r="C12" t="s">
        <v>149</v>
      </c>
      <c r="D12" s="22">
        <v>43500</v>
      </c>
      <c r="E12" s="22">
        <v>29</v>
      </c>
      <c r="G12"/>
      <c r="H12"/>
      <c r="I12"/>
      <c r="J12"/>
      <c r="K12"/>
      <c r="L12" s="6" t="s">
        <v>150</v>
      </c>
      <c r="M12" s="7"/>
      <c r="N12" s="7"/>
      <c r="O12" s="7"/>
      <c r="P12" s="8"/>
    </row>
    <row r="13" spans="1:17" x14ac:dyDescent="0.15">
      <c r="A13" s="21">
        <v>36545</v>
      </c>
      <c r="B13" t="s">
        <v>151</v>
      </c>
      <c r="C13" t="s">
        <v>152</v>
      </c>
      <c r="D13" s="22">
        <v>13500</v>
      </c>
      <c r="E13" s="22">
        <v>15</v>
      </c>
      <c r="G13"/>
      <c r="H13"/>
      <c r="I13"/>
      <c r="J13"/>
      <c r="K13"/>
      <c r="L13" s="9" t="s">
        <v>153</v>
      </c>
      <c r="M13" s="10"/>
      <c r="N13" s="10"/>
      <c r="O13" s="10"/>
      <c r="P13" s="10"/>
      <c r="Q13" s="11"/>
    </row>
    <row r="14" spans="1:17" x14ac:dyDescent="0.15">
      <c r="A14" s="21">
        <v>36547</v>
      </c>
      <c r="B14" t="s">
        <v>154</v>
      </c>
      <c r="C14" t="s">
        <v>143</v>
      </c>
      <c r="D14" s="22">
        <v>50800</v>
      </c>
      <c r="E14" s="22">
        <v>22</v>
      </c>
      <c r="G14"/>
      <c r="H14"/>
      <c r="I14"/>
      <c r="J14"/>
      <c r="K14"/>
      <c r="L14" s="12"/>
      <c r="M14" s="13"/>
      <c r="N14" s="13"/>
      <c r="O14" s="13"/>
      <c r="P14" s="13"/>
      <c r="Q14" s="14"/>
    </row>
    <row r="15" spans="1:17" x14ac:dyDescent="0.15">
      <c r="A15" s="21">
        <v>36548</v>
      </c>
      <c r="B15" t="s">
        <v>155</v>
      </c>
      <c r="C15" t="s">
        <v>156</v>
      </c>
      <c r="D15" s="22">
        <v>98450</v>
      </c>
      <c r="E15" s="22">
        <v>21</v>
      </c>
      <c r="G15"/>
      <c r="H15"/>
      <c r="I15"/>
      <c r="J15"/>
      <c r="K15"/>
      <c r="L15" s="12"/>
      <c r="M15" s="13"/>
      <c r="N15" s="13"/>
      <c r="O15" s="13"/>
      <c r="P15" s="13"/>
      <c r="Q15" s="14"/>
    </row>
    <row r="16" spans="1:17" ht="14" thickBot="1" x14ac:dyDescent="0.2">
      <c r="A16" s="21">
        <v>36551</v>
      </c>
      <c r="B16" t="s">
        <v>145</v>
      </c>
      <c r="C16" t="s">
        <v>146</v>
      </c>
      <c r="D16" s="22">
        <v>45890</v>
      </c>
      <c r="E16" s="22">
        <v>18</v>
      </c>
      <c r="G16"/>
      <c r="H16"/>
      <c r="I16"/>
      <c r="J16"/>
      <c r="K16"/>
      <c r="L16" s="18"/>
      <c r="M16" s="19"/>
      <c r="N16" s="19"/>
      <c r="O16" s="19"/>
      <c r="P16" s="19"/>
      <c r="Q16" s="20"/>
    </row>
    <row r="17" spans="1:17" x14ac:dyDescent="0.15">
      <c r="A17" s="21">
        <v>36552</v>
      </c>
      <c r="B17" t="s">
        <v>157</v>
      </c>
      <c r="C17" t="s">
        <v>158</v>
      </c>
      <c r="D17" s="22">
        <v>7950</v>
      </c>
      <c r="E17" s="22">
        <v>23</v>
      </c>
      <c r="G17"/>
      <c r="H17"/>
      <c r="I17"/>
      <c r="J17"/>
      <c r="K17"/>
    </row>
    <row r="18" spans="1:17" ht="14" thickBot="1" x14ac:dyDescent="0.2">
      <c r="A18" s="21">
        <v>36553</v>
      </c>
      <c r="B18" t="s">
        <v>159</v>
      </c>
      <c r="C18" t="s">
        <v>156</v>
      </c>
      <c r="D18" s="22">
        <v>87450</v>
      </c>
      <c r="E18" s="22">
        <v>24</v>
      </c>
      <c r="G18"/>
      <c r="H18"/>
      <c r="I18"/>
      <c r="J18"/>
      <c r="K18"/>
    </row>
    <row r="19" spans="1:17" ht="14" thickBot="1" x14ac:dyDescent="0.2">
      <c r="A19" s="21">
        <v>36554</v>
      </c>
      <c r="B19" t="s">
        <v>160</v>
      </c>
      <c r="C19" t="s">
        <v>161</v>
      </c>
      <c r="D19" s="22">
        <v>295000</v>
      </c>
      <c r="E19" s="22">
        <v>27</v>
      </c>
      <c r="G19" s="32" t="s">
        <v>215</v>
      </c>
      <c r="H19" s="33"/>
      <c r="I19" s="34"/>
      <c r="J19" s="31">
        <v>100000</v>
      </c>
      <c r="K19"/>
      <c r="L19" s="38" t="s">
        <v>216</v>
      </c>
      <c r="M19" s="39"/>
      <c r="N19" s="39"/>
      <c r="O19" s="39"/>
      <c r="P19" s="40"/>
    </row>
    <row r="20" spans="1:17" ht="14" thickBot="1" x14ac:dyDescent="0.2">
      <c r="A20" s="21">
        <v>36555</v>
      </c>
      <c r="B20" t="s">
        <v>148</v>
      </c>
      <c r="C20" t="s">
        <v>162</v>
      </c>
      <c r="D20" s="22">
        <v>348980</v>
      </c>
      <c r="E20" s="22">
        <v>15</v>
      </c>
      <c r="G20"/>
      <c r="H20"/>
      <c r="I20"/>
      <c r="J20"/>
      <c r="K20"/>
      <c r="L20" s="42" t="s">
        <v>217</v>
      </c>
      <c r="M20" s="43"/>
      <c r="N20" s="43"/>
      <c r="O20" s="43"/>
      <c r="P20" s="43"/>
      <c r="Q20" s="44"/>
    </row>
    <row r="21" spans="1:17" x14ac:dyDescent="0.15">
      <c r="A21" s="21">
        <v>36558</v>
      </c>
      <c r="B21" t="s">
        <v>163</v>
      </c>
      <c r="C21" t="s">
        <v>164</v>
      </c>
      <c r="D21" s="22">
        <v>127490</v>
      </c>
      <c r="E21" s="22">
        <v>17</v>
      </c>
      <c r="G21" s="51" cm="1">
        <f t="array" ref="G21:K34">_xlfn._xlws.SORT(_xlfn._xlws.FILTER(Fatture[],Fatture[Importo fattura]&gt;J19,),4,-1)</f>
        <v>36604</v>
      </c>
      <c r="H21" s="52" t="str">
        <v>Gateway 2000</v>
      </c>
      <c r="I21" s="52" t="str">
        <v>Hardware</v>
      </c>
      <c r="J21" s="53">
        <v>2425000</v>
      </c>
      <c r="K21" s="54">
        <v>11</v>
      </c>
      <c r="L21" s="46"/>
      <c r="M21" s="46"/>
      <c r="N21" s="46"/>
      <c r="O21" s="46"/>
      <c r="P21" s="46"/>
      <c r="Q21" s="47"/>
    </row>
    <row r="22" spans="1:17" x14ac:dyDescent="0.15">
      <c r="A22" s="21">
        <v>36558</v>
      </c>
      <c r="B22" t="s">
        <v>165</v>
      </c>
      <c r="C22" t="s">
        <v>146</v>
      </c>
      <c r="D22" s="22">
        <v>49400</v>
      </c>
      <c r="E22" s="22">
        <v>13</v>
      </c>
      <c r="G22" s="55">
        <v>36649</v>
      </c>
      <c r="H22" s="56" t="str">
        <v>Gateway 2000</v>
      </c>
      <c r="I22" s="56" t="str">
        <v>Hardware</v>
      </c>
      <c r="J22" s="57">
        <v>2425000</v>
      </c>
      <c r="K22" s="58">
        <v>21</v>
      </c>
      <c r="L22" s="46"/>
      <c r="M22" s="46"/>
      <c r="N22" s="46"/>
      <c r="O22" s="46"/>
      <c r="P22" s="46"/>
      <c r="Q22" s="47"/>
    </row>
    <row r="23" spans="1:17" x14ac:dyDescent="0.15">
      <c r="A23" s="21">
        <v>36573</v>
      </c>
      <c r="B23" t="s">
        <v>166</v>
      </c>
      <c r="C23" t="s">
        <v>167</v>
      </c>
      <c r="D23" s="22">
        <v>201000</v>
      </c>
      <c r="E23" s="22">
        <v>14</v>
      </c>
      <c r="G23" s="55">
        <v>36651</v>
      </c>
      <c r="H23" s="56" t="str">
        <v>Gateway 2000</v>
      </c>
      <c r="I23" s="56" t="str">
        <v>Hardware</v>
      </c>
      <c r="J23" s="57">
        <v>1860000</v>
      </c>
      <c r="K23" s="58">
        <v>19</v>
      </c>
      <c r="L23" s="46"/>
      <c r="M23" s="46"/>
      <c r="N23" s="46"/>
      <c r="O23" s="46"/>
      <c r="P23" s="46"/>
      <c r="Q23" s="47"/>
    </row>
    <row r="24" spans="1:17" x14ac:dyDescent="0.15">
      <c r="A24" s="21">
        <v>36573</v>
      </c>
      <c r="B24" t="s">
        <v>168</v>
      </c>
      <c r="C24" t="s">
        <v>167</v>
      </c>
      <c r="D24" s="22">
        <v>1368000</v>
      </c>
      <c r="E24" s="22">
        <v>28</v>
      </c>
      <c r="G24" s="55">
        <v>36573</v>
      </c>
      <c r="H24" s="56" t="str">
        <v>American Airlines</v>
      </c>
      <c r="I24" s="56" t="str">
        <v>Viaggio d'affari</v>
      </c>
      <c r="J24" s="57">
        <v>1368000</v>
      </c>
      <c r="K24" s="58">
        <v>28</v>
      </c>
      <c r="L24" s="46"/>
      <c r="M24" s="46"/>
      <c r="N24" s="46"/>
      <c r="O24" s="46"/>
      <c r="P24" s="46"/>
      <c r="Q24" s="47"/>
    </row>
    <row r="25" spans="1:17" x14ac:dyDescent="0.15">
      <c r="A25" s="21">
        <v>36576</v>
      </c>
      <c r="B25" t="s">
        <v>169</v>
      </c>
      <c r="C25" t="s">
        <v>170</v>
      </c>
      <c r="D25" s="22">
        <v>36850</v>
      </c>
      <c r="E25" s="22">
        <v>16</v>
      </c>
      <c r="G25" s="55">
        <v>36555</v>
      </c>
      <c r="H25" s="56" t="str">
        <v>Fletcher's for Children</v>
      </c>
      <c r="I25" s="56" t="str">
        <v>Mobili</v>
      </c>
      <c r="J25" s="57">
        <v>348980</v>
      </c>
      <c r="K25" s="58">
        <v>15</v>
      </c>
      <c r="L25" s="46"/>
      <c r="M25" s="46"/>
      <c r="N25" s="46"/>
      <c r="O25" s="46"/>
      <c r="P25" s="46"/>
      <c r="Q25" s="47"/>
    </row>
    <row r="26" spans="1:17" ht="14" thickBot="1" x14ac:dyDescent="0.2">
      <c r="A26" s="21">
        <v>36580</v>
      </c>
      <c r="B26" t="s">
        <v>171</v>
      </c>
      <c r="C26" t="s">
        <v>141</v>
      </c>
      <c r="D26" s="22">
        <v>151500</v>
      </c>
      <c r="E26" s="22">
        <v>13</v>
      </c>
      <c r="G26" s="55">
        <v>36554</v>
      </c>
      <c r="H26" s="56" t="str">
        <v>Agora Publishing</v>
      </c>
      <c r="I26" s="56" t="str">
        <v>Manuali</v>
      </c>
      <c r="J26" s="57">
        <v>295000</v>
      </c>
      <c r="K26" s="58">
        <v>27</v>
      </c>
      <c r="L26" s="49"/>
      <c r="M26" s="49"/>
      <c r="N26" s="49"/>
      <c r="O26" s="49"/>
      <c r="P26" s="49"/>
      <c r="Q26" s="50"/>
    </row>
    <row r="27" spans="1:17" x14ac:dyDescent="0.15">
      <c r="A27" s="21">
        <v>36589</v>
      </c>
      <c r="B27" t="s">
        <v>151</v>
      </c>
      <c r="C27" t="s">
        <v>152</v>
      </c>
      <c r="D27" s="22">
        <v>13500</v>
      </c>
      <c r="E27" s="22">
        <v>20</v>
      </c>
      <c r="G27" s="55">
        <v>36573</v>
      </c>
      <c r="H27" s="56" t="str">
        <v>Alaska Airlines</v>
      </c>
      <c r="I27" s="56" t="str">
        <v>Viaggio d'affari</v>
      </c>
      <c r="J27" s="57">
        <v>201000</v>
      </c>
      <c r="K27" s="58">
        <v>14</v>
      </c>
    </row>
    <row r="28" spans="1:17" x14ac:dyDescent="0.15">
      <c r="A28" s="21">
        <v>36593</v>
      </c>
      <c r="B28" t="s">
        <v>172</v>
      </c>
      <c r="C28" t="s">
        <v>173</v>
      </c>
      <c r="D28" s="22">
        <v>17000</v>
      </c>
      <c r="E28" s="22">
        <v>18</v>
      </c>
      <c r="G28" s="55">
        <v>36596</v>
      </c>
      <c r="H28" s="56" t="str">
        <v>DAK Industries</v>
      </c>
      <c r="I28" s="56" t="str">
        <v>Mobili</v>
      </c>
      <c r="J28" s="57">
        <v>183900</v>
      </c>
      <c r="K28" s="58">
        <v>26</v>
      </c>
    </row>
    <row r="29" spans="1:17" x14ac:dyDescent="0.15">
      <c r="A29" s="21">
        <v>36594</v>
      </c>
      <c r="B29" t="s">
        <v>174</v>
      </c>
      <c r="C29" t="s">
        <v>146</v>
      </c>
      <c r="D29" s="22">
        <v>35900</v>
      </c>
      <c r="E29" s="22">
        <v>16</v>
      </c>
      <c r="G29" s="55">
        <v>36637</v>
      </c>
      <c r="H29" s="56" t="str">
        <v>DAK Industries</v>
      </c>
      <c r="I29" s="56" t="str">
        <v>Mobili</v>
      </c>
      <c r="J29" s="57">
        <v>183900</v>
      </c>
      <c r="K29" s="58">
        <v>18</v>
      </c>
    </row>
    <row r="30" spans="1:17" x14ac:dyDescent="0.15">
      <c r="A30" s="21">
        <v>36594</v>
      </c>
      <c r="B30" t="s">
        <v>175</v>
      </c>
      <c r="C30" t="s">
        <v>176</v>
      </c>
      <c r="D30" s="22">
        <v>27270</v>
      </c>
      <c r="E30" s="22">
        <v>14</v>
      </c>
      <c r="G30" s="55">
        <v>36596</v>
      </c>
      <c r="H30" s="56" t="str">
        <v>After the Stork</v>
      </c>
      <c r="I30" s="56" t="str">
        <v>Abbigliamento</v>
      </c>
      <c r="J30" s="57">
        <v>163500</v>
      </c>
      <c r="K30" s="58">
        <v>18</v>
      </c>
    </row>
    <row r="31" spans="1:17" x14ac:dyDescent="0.15">
      <c r="A31" s="21">
        <v>36594</v>
      </c>
      <c r="B31" t="s">
        <v>177</v>
      </c>
      <c r="C31" t="s">
        <v>176</v>
      </c>
      <c r="D31" s="22">
        <v>13400</v>
      </c>
      <c r="E31" s="22">
        <v>14</v>
      </c>
      <c r="G31" s="55">
        <v>36580</v>
      </c>
      <c r="H31" s="56" t="str">
        <v>Biobottoms</v>
      </c>
      <c r="I31" s="56" t="str">
        <v>Abbigliamento</v>
      </c>
      <c r="J31" s="57">
        <v>151500</v>
      </c>
      <c r="K31" s="58">
        <v>13</v>
      </c>
    </row>
    <row r="32" spans="1:17" x14ac:dyDescent="0.15">
      <c r="A32" s="21">
        <v>36595</v>
      </c>
      <c r="B32" t="s">
        <v>171</v>
      </c>
      <c r="C32" t="s">
        <v>141</v>
      </c>
      <c r="D32" s="22">
        <v>19000</v>
      </c>
      <c r="E32" s="22">
        <v>17</v>
      </c>
      <c r="G32" s="55">
        <v>36596</v>
      </c>
      <c r="H32" s="56" t="str">
        <v>Avis</v>
      </c>
      <c r="I32" s="56" t="str">
        <v>Viaggio d'affari: trasporto</v>
      </c>
      <c r="J32" s="57">
        <v>127950</v>
      </c>
      <c r="K32" s="58">
        <v>20</v>
      </c>
    </row>
    <row r="33" spans="1:11" x14ac:dyDescent="0.15">
      <c r="A33" s="21">
        <v>36595</v>
      </c>
      <c r="B33" t="s">
        <v>174</v>
      </c>
      <c r="C33" t="s">
        <v>146</v>
      </c>
      <c r="D33" s="22">
        <v>71800</v>
      </c>
      <c r="E33" s="22">
        <v>18</v>
      </c>
      <c r="G33" s="55">
        <v>36558</v>
      </c>
      <c r="H33" s="56" t="str">
        <v>Furrow Building Materials</v>
      </c>
      <c r="I33" s="56" t="str">
        <v>Educazione dei figli</v>
      </c>
      <c r="J33" s="57">
        <v>127490</v>
      </c>
      <c r="K33" s="58">
        <v>17</v>
      </c>
    </row>
    <row r="34" spans="1:11" ht="14" thickBot="1" x14ac:dyDescent="0.2">
      <c r="A34" s="21">
        <v>36595</v>
      </c>
      <c r="B34" t="s">
        <v>177</v>
      </c>
      <c r="C34" t="s">
        <v>176</v>
      </c>
      <c r="D34" s="22">
        <v>12280</v>
      </c>
      <c r="E34" s="22">
        <v>14</v>
      </c>
      <c r="G34" s="59">
        <v>36598</v>
      </c>
      <c r="H34" s="60" t="str">
        <v>Furrow Building Materials</v>
      </c>
      <c r="I34" s="60" t="str">
        <v>Educazione dei figli</v>
      </c>
      <c r="J34" s="61">
        <v>127490</v>
      </c>
      <c r="K34" s="62">
        <v>21</v>
      </c>
    </row>
    <row r="35" spans="1:11" x14ac:dyDescent="0.15">
      <c r="A35" s="21">
        <v>36595</v>
      </c>
      <c r="B35" t="s">
        <v>177</v>
      </c>
      <c r="C35" t="s">
        <v>176</v>
      </c>
      <c r="D35" s="22">
        <v>14670</v>
      </c>
      <c r="E35" s="22">
        <v>17</v>
      </c>
    </row>
    <row r="36" spans="1:11" x14ac:dyDescent="0.15">
      <c r="A36" s="21">
        <v>36596</v>
      </c>
      <c r="B36" t="s">
        <v>178</v>
      </c>
      <c r="C36" t="s">
        <v>141</v>
      </c>
      <c r="D36" s="22">
        <v>163500</v>
      </c>
      <c r="E36" s="22">
        <v>18</v>
      </c>
    </row>
    <row r="37" spans="1:11" x14ac:dyDescent="0.15">
      <c r="A37" s="21">
        <v>36596</v>
      </c>
      <c r="B37" t="s">
        <v>179</v>
      </c>
      <c r="C37" t="s">
        <v>162</v>
      </c>
      <c r="D37" s="22">
        <v>183900</v>
      </c>
      <c r="E37" s="22">
        <v>26</v>
      </c>
    </row>
    <row r="38" spans="1:11" x14ac:dyDescent="0.15">
      <c r="A38" s="21">
        <v>36596</v>
      </c>
      <c r="B38" t="s">
        <v>180</v>
      </c>
      <c r="C38" t="s">
        <v>181</v>
      </c>
      <c r="D38" s="22">
        <v>43500</v>
      </c>
      <c r="E38" s="22">
        <v>16</v>
      </c>
    </row>
    <row r="39" spans="1:11" x14ac:dyDescent="0.15">
      <c r="A39" s="21">
        <v>36596</v>
      </c>
      <c r="B39" t="s">
        <v>182</v>
      </c>
      <c r="C39" t="s">
        <v>176</v>
      </c>
      <c r="D39" s="22">
        <v>10730</v>
      </c>
      <c r="E39" s="22">
        <v>17</v>
      </c>
    </row>
    <row r="40" spans="1:11" x14ac:dyDescent="0.15">
      <c r="A40" s="21">
        <v>36596</v>
      </c>
      <c r="B40" t="s">
        <v>183</v>
      </c>
      <c r="C40" t="s">
        <v>176</v>
      </c>
      <c r="D40" s="22">
        <v>11210</v>
      </c>
      <c r="E40" s="22">
        <v>25</v>
      </c>
    </row>
    <row r="41" spans="1:11" x14ac:dyDescent="0.15">
      <c r="A41" s="21">
        <v>36596</v>
      </c>
      <c r="B41" t="s">
        <v>184</v>
      </c>
      <c r="C41" t="s">
        <v>173</v>
      </c>
      <c r="D41" s="22">
        <v>127950</v>
      </c>
      <c r="E41" s="22">
        <v>20</v>
      </c>
    </row>
    <row r="42" spans="1:11" x14ac:dyDescent="0.15">
      <c r="A42" s="21">
        <v>36597</v>
      </c>
      <c r="B42" t="s">
        <v>185</v>
      </c>
      <c r="C42" t="s">
        <v>186</v>
      </c>
      <c r="D42" s="22">
        <v>20000</v>
      </c>
      <c r="E42" s="22">
        <v>23</v>
      </c>
    </row>
    <row r="43" spans="1:11" x14ac:dyDescent="0.15">
      <c r="A43" s="21">
        <v>36597</v>
      </c>
      <c r="B43" t="s">
        <v>187</v>
      </c>
      <c r="C43" t="s">
        <v>176</v>
      </c>
      <c r="D43" s="22">
        <v>7850</v>
      </c>
      <c r="E43" s="22">
        <v>25</v>
      </c>
    </row>
    <row r="44" spans="1:11" x14ac:dyDescent="0.15">
      <c r="A44" s="21">
        <v>36598</v>
      </c>
      <c r="B44" t="s">
        <v>163</v>
      </c>
      <c r="C44" t="s">
        <v>164</v>
      </c>
      <c r="D44" s="22">
        <v>127490</v>
      </c>
      <c r="E44" s="22">
        <v>21</v>
      </c>
    </row>
    <row r="45" spans="1:11" x14ac:dyDescent="0.15">
      <c r="A45" s="21">
        <v>36598</v>
      </c>
      <c r="B45" t="s">
        <v>188</v>
      </c>
      <c r="C45" t="s">
        <v>170</v>
      </c>
      <c r="D45" s="22">
        <v>3950</v>
      </c>
      <c r="E45" s="22">
        <v>17</v>
      </c>
    </row>
    <row r="46" spans="1:11" x14ac:dyDescent="0.15">
      <c r="A46" s="21">
        <v>36598</v>
      </c>
      <c r="B46" t="s">
        <v>140</v>
      </c>
      <c r="C46" t="s">
        <v>189</v>
      </c>
      <c r="D46" s="22">
        <v>50000</v>
      </c>
      <c r="E46" s="22">
        <v>15</v>
      </c>
    </row>
    <row r="47" spans="1:11" x14ac:dyDescent="0.15">
      <c r="A47" s="21">
        <v>36600</v>
      </c>
      <c r="B47" t="s">
        <v>190</v>
      </c>
      <c r="C47" t="s">
        <v>191</v>
      </c>
      <c r="D47" s="22">
        <v>16650</v>
      </c>
      <c r="E47" s="22">
        <v>24</v>
      </c>
    </row>
    <row r="48" spans="1:11" x14ac:dyDescent="0.15">
      <c r="A48" s="21">
        <v>36603</v>
      </c>
      <c r="B48" t="s">
        <v>165</v>
      </c>
      <c r="C48" t="s">
        <v>146</v>
      </c>
      <c r="D48" s="22">
        <v>87300</v>
      </c>
      <c r="E48" s="22">
        <v>18</v>
      </c>
    </row>
    <row r="49" spans="1:5" x14ac:dyDescent="0.15">
      <c r="A49" s="21">
        <v>36604</v>
      </c>
      <c r="B49" t="s">
        <v>192</v>
      </c>
      <c r="C49" t="s">
        <v>193</v>
      </c>
      <c r="D49" s="22">
        <v>2425000</v>
      </c>
      <c r="E49" s="22">
        <v>11</v>
      </c>
    </row>
    <row r="50" spans="1:5" x14ac:dyDescent="0.15">
      <c r="A50" s="21">
        <v>36608</v>
      </c>
      <c r="B50" t="s">
        <v>194</v>
      </c>
      <c r="C50" t="s">
        <v>141</v>
      </c>
      <c r="D50" s="22">
        <v>18230</v>
      </c>
      <c r="E50" s="22">
        <v>21</v>
      </c>
    </row>
    <row r="51" spans="1:5" x14ac:dyDescent="0.15">
      <c r="A51" s="21">
        <v>36609</v>
      </c>
      <c r="B51" t="s">
        <v>184</v>
      </c>
      <c r="C51" t="s">
        <v>173</v>
      </c>
      <c r="D51" s="22">
        <v>78530</v>
      </c>
      <c r="E51" s="22">
        <v>25</v>
      </c>
    </row>
    <row r="52" spans="1:5" x14ac:dyDescent="0.15">
      <c r="A52" s="21">
        <v>36609</v>
      </c>
      <c r="B52" t="s">
        <v>195</v>
      </c>
      <c r="C52" t="s">
        <v>173</v>
      </c>
      <c r="D52" s="22">
        <v>21000</v>
      </c>
      <c r="E52" s="22">
        <v>18</v>
      </c>
    </row>
    <row r="53" spans="1:5" x14ac:dyDescent="0.15">
      <c r="A53" s="21">
        <v>36612</v>
      </c>
      <c r="B53" t="s">
        <v>196</v>
      </c>
      <c r="C53" t="s">
        <v>197</v>
      </c>
      <c r="D53" s="22">
        <v>34900</v>
      </c>
      <c r="E53" s="22">
        <v>16</v>
      </c>
    </row>
    <row r="54" spans="1:5" x14ac:dyDescent="0.15">
      <c r="A54" s="21">
        <v>36614</v>
      </c>
      <c r="B54" t="s">
        <v>188</v>
      </c>
      <c r="C54" t="s">
        <v>170</v>
      </c>
      <c r="D54" s="22">
        <v>8000</v>
      </c>
      <c r="E54" s="22">
        <v>22</v>
      </c>
    </row>
    <row r="55" spans="1:5" x14ac:dyDescent="0.15">
      <c r="A55" s="21">
        <v>36614</v>
      </c>
      <c r="B55" t="s">
        <v>198</v>
      </c>
      <c r="C55" t="s">
        <v>146</v>
      </c>
      <c r="D55" s="22">
        <v>24660</v>
      </c>
      <c r="E55" s="22">
        <v>27</v>
      </c>
    </row>
    <row r="56" spans="1:5" x14ac:dyDescent="0.15">
      <c r="A56" s="21">
        <v>36616</v>
      </c>
      <c r="B56" t="s">
        <v>199</v>
      </c>
      <c r="C56" t="s">
        <v>197</v>
      </c>
      <c r="D56" s="22">
        <v>22450</v>
      </c>
      <c r="E56" s="22">
        <v>18</v>
      </c>
    </row>
    <row r="57" spans="1:5" x14ac:dyDescent="0.15">
      <c r="A57" s="21">
        <v>36622</v>
      </c>
      <c r="B57" t="s">
        <v>199</v>
      </c>
      <c r="C57" t="s">
        <v>197</v>
      </c>
      <c r="D57" s="22">
        <v>44950</v>
      </c>
      <c r="E57" s="22">
        <v>20</v>
      </c>
    </row>
    <row r="58" spans="1:5" x14ac:dyDescent="0.15">
      <c r="A58" s="21">
        <v>36624</v>
      </c>
      <c r="B58" t="s">
        <v>200</v>
      </c>
      <c r="C58" t="s">
        <v>193</v>
      </c>
      <c r="D58" s="22">
        <v>55600</v>
      </c>
      <c r="E58" s="22">
        <v>11</v>
      </c>
    </row>
    <row r="59" spans="1:5" x14ac:dyDescent="0.15">
      <c r="A59" s="21">
        <v>36629</v>
      </c>
      <c r="B59" t="s">
        <v>201</v>
      </c>
      <c r="C59" t="s">
        <v>202</v>
      </c>
      <c r="D59" s="22">
        <v>84500</v>
      </c>
      <c r="E59" s="22">
        <v>21</v>
      </c>
    </row>
    <row r="60" spans="1:5" x14ac:dyDescent="0.15">
      <c r="A60" s="21">
        <v>36632</v>
      </c>
      <c r="B60" t="s">
        <v>178</v>
      </c>
      <c r="C60" t="s">
        <v>141</v>
      </c>
      <c r="D60" s="22">
        <v>51800</v>
      </c>
      <c r="E60" s="22">
        <v>21</v>
      </c>
    </row>
    <row r="61" spans="1:5" x14ac:dyDescent="0.15">
      <c r="A61" s="21">
        <v>36632</v>
      </c>
      <c r="B61" t="s">
        <v>171</v>
      </c>
      <c r="C61" t="s">
        <v>141</v>
      </c>
      <c r="D61" s="22">
        <v>31000</v>
      </c>
      <c r="E61" s="22">
        <v>16</v>
      </c>
    </row>
    <row r="62" spans="1:5" x14ac:dyDescent="0.15">
      <c r="A62" s="21">
        <v>36637</v>
      </c>
      <c r="B62" t="s">
        <v>171</v>
      </c>
      <c r="C62" t="s">
        <v>141</v>
      </c>
      <c r="D62" s="22">
        <v>81500</v>
      </c>
      <c r="E62" s="22">
        <v>25</v>
      </c>
    </row>
    <row r="63" spans="1:5" x14ac:dyDescent="0.15">
      <c r="A63" s="21">
        <v>36637</v>
      </c>
      <c r="B63" t="s">
        <v>179</v>
      </c>
      <c r="C63" t="s">
        <v>162</v>
      </c>
      <c r="D63" s="22">
        <v>183900</v>
      </c>
      <c r="E63" s="22">
        <v>18</v>
      </c>
    </row>
    <row r="64" spans="1:5" x14ac:dyDescent="0.15">
      <c r="A64" s="21">
        <v>36637</v>
      </c>
      <c r="B64" t="s">
        <v>151</v>
      </c>
      <c r="C64" t="s">
        <v>152</v>
      </c>
      <c r="D64" s="22">
        <v>13500</v>
      </c>
      <c r="E64" s="22">
        <v>18</v>
      </c>
    </row>
    <row r="65" spans="1:5" x14ac:dyDescent="0.15">
      <c r="A65" s="21">
        <v>36638</v>
      </c>
      <c r="B65" t="s">
        <v>203</v>
      </c>
      <c r="C65" t="s">
        <v>204</v>
      </c>
      <c r="D65" s="22">
        <v>2010</v>
      </c>
      <c r="E65" s="22">
        <v>21</v>
      </c>
    </row>
    <row r="66" spans="1:5" x14ac:dyDescent="0.15">
      <c r="A66" s="21">
        <v>36640</v>
      </c>
      <c r="B66" t="s">
        <v>205</v>
      </c>
      <c r="C66" t="s">
        <v>197</v>
      </c>
      <c r="D66" s="22">
        <v>36300</v>
      </c>
      <c r="E66" s="22">
        <v>23</v>
      </c>
    </row>
    <row r="67" spans="1:5" x14ac:dyDescent="0.15">
      <c r="A67" s="21">
        <v>36642</v>
      </c>
      <c r="B67" t="s">
        <v>194</v>
      </c>
      <c r="C67" t="s">
        <v>141</v>
      </c>
      <c r="D67" s="22">
        <v>7640</v>
      </c>
      <c r="E67" s="22">
        <v>20</v>
      </c>
    </row>
    <row r="68" spans="1:5" x14ac:dyDescent="0.15">
      <c r="A68" s="21">
        <v>36644</v>
      </c>
      <c r="B68" t="s">
        <v>172</v>
      </c>
      <c r="C68" t="s">
        <v>173</v>
      </c>
      <c r="D68" s="22">
        <v>18000</v>
      </c>
      <c r="E68" s="22">
        <v>21</v>
      </c>
    </row>
    <row r="69" spans="1:5" x14ac:dyDescent="0.15">
      <c r="A69" s="21">
        <v>36645</v>
      </c>
      <c r="B69" t="s">
        <v>203</v>
      </c>
      <c r="C69" t="s">
        <v>204</v>
      </c>
      <c r="D69" s="22">
        <v>8730</v>
      </c>
      <c r="E69" s="22">
        <v>18</v>
      </c>
    </row>
    <row r="70" spans="1:5" x14ac:dyDescent="0.15">
      <c r="A70" s="21">
        <v>36645</v>
      </c>
      <c r="B70" t="s">
        <v>172</v>
      </c>
      <c r="C70" t="s">
        <v>173</v>
      </c>
      <c r="D70" s="22">
        <v>19000</v>
      </c>
      <c r="E70" s="22">
        <v>12</v>
      </c>
    </row>
    <row r="71" spans="1:5" x14ac:dyDescent="0.15">
      <c r="A71" s="21">
        <v>36649</v>
      </c>
      <c r="B71" t="s">
        <v>192</v>
      </c>
      <c r="C71" t="s">
        <v>193</v>
      </c>
      <c r="D71" s="22">
        <v>2425000</v>
      </c>
      <c r="E71" s="22">
        <v>21</v>
      </c>
    </row>
    <row r="72" spans="1:5" x14ac:dyDescent="0.15">
      <c r="A72" s="21">
        <v>36651</v>
      </c>
      <c r="B72" t="s">
        <v>192</v>
      </c>
      <c r="C72" t="s">
        <v>193</v>
      </c>
      <c r="D72" s="22">
        <v>1860000</v>
      </c>
      <c r="E72" s="22">
        <v>19</v>
      </c>
    </row>
    <row r="73" spans="1:5" x14ac:dyDescent="0.15">
      <c r="A73" s="21">
        <v>36652</v>
      </c>
      <c r="B73" t="s">
        <v>206</v>
      </c>
      <c r="C73" t="s">
        <v>204</v>
      </c>
      <c r="D73" s="22">
        <v>6570</v>
      </c>
      <c r="E73" s="22">
        <v>13</v>
      </c>
    </row>
    <row r="74" spans="1:5" x14ac:dyDescent="0.15">
      <c r="A74" s="21">
        <v>36653</v>
      </c>
      <c r="B74" t="s">
        <v>207</v>
      </c>
      <c r="C74" t="s">
        <v>208</v>
      </c>
      <c r="D74" s="22">
        <v>14000</v>
      </c>
      <c r="E74" s="22">
        <v>16</v>
      </c>
    </row>
    <row r="75" spans="1:5" x14ac:dyDescent="0.15">
      <c r="A75" s="21">
        <v>36665</v>
      </c>
      <c r="B75" t="s">
        <v>209</v>
      </c>
      <c r="C75" t="s">
        <v>149</v>
      </c>
      <c r="D75" s="22">
        <v>29980</v>
      </c>
      <c r="E75" s="22">
        <v>19</v>
      </c>
    </row>
    <row r="76" spans="1:5" x14ac:dyDescent="0.15">
      <c r="A76" s="21">
        <v>36666</v>
      </c>
      <c r="B76" t="s">
        <v>210</v>
      </c>
      <c r="C76" t="s">
        <v>146</v>
      </c>
      <c r="D76" s="22">
        <v>17950</v>
      </c>
      <c r="E76" s="22">
        <v>17</v>
      </c>
    </row>
    <row r="77" spans="1:5" x14ac:dyDescent="0.15">
      <c r="A77" s="21">
        <v>36666</v>
      </c>
      <c r="B77" t="s">
        <v>198</v>
      </c>
      <c r="C77" t="s">
        <v>146</v>
      </c>
      <c r="D77" s="22">
        <v>32320</v>
      </c>
      <c r="E77" s="22">
        <v>20</v>
      </c>
    </row>
    <row r="78" spans="1:5" x14ac:dyDescent="0.15">
      <c r="A78" s="21">
        <v>36667</v>
      </c>
      <c r="B78" t="s">
        <v>211</v>
      </c>
      <c r="C78" t="s">
        <v>189</v>
      </c>
      <c r="D78" s="22">
        <v>27350</v>
      </c>
      <c r="E78" s="22">
        <v>19</v>
      </c>
    </row>
    <row r="79" spans="1:5" x14ac:dyDescent="0.15">
      <c r="A79" s="21">
        <v>36672</v>
      </c>
      <c r="B79" t="s">
        <v>207</v>
      </c>
      <c r="C79" t="s">
        <v>208</v>
      </c>
      <c r="D79" s="22">
        <v>15000</v>
      </c>
      <c r="E79" s="22">
        <v>20</v>
      </c>
    </row>
    <row r="80" spans="1:5" x14ac:dyDescent="0.15">
      <c r="A80" s="21">
        <v>36681</v>
      </c>
      <c r="B80" t="s">
        <v>151</v>
      </c>
      <c r="C80" t="s">
        <v>152</v>
      </c>
      <c r="D80" s="22">
        <v>13500</v>
      </c>
      <c r="E80" s="22">
        <v>21</v>
      </c>
    </row>
    <row r="81" spans="1:5" x14ac:dyDescent="0.15">
      <c r="A81" s="21">
        <v>36682</v>
      </c>
      <c r="B81" t="s">
        <v>206</v>
      </c>
      <c r="C81" t="s">
        <v>204</v>
      </c>
      <c r="D81" s="22">
        <v>8600</v>
      </c>
      <c r="E81" s="22">
        <v>22</v>
      </c>
    </row>
    <row r="82" spans="1:5" x14ac:dyDescent="0.15">
      <c r="A82" s="21">
        <v>36685</v>
      </c>
      <c r="B82" t="s">
        <v>148</v>
      </c>
      <c r="C82" t="s">
        <v>149</v>
      </c>
      <c r="D82" s="22">
        <v>15980</v>
      </c>
      <c r="E82" s="22">
        <v>14</v>
      </c>
    </row>
    <row r="83" spans="1:5" x14ac:dyDescent="0.15">
      <c r="A83" s="21">
        <v>36686</v>
      </c>
      <c r="B83" t="s">
        <v>194</v>
      </c>
      <c r="C83" t="s">
        <v>141</v>
      </c>
      <c r="D83" s="22">
        <v>7640</v>
      </c>
      <c r="E83" s="22">
        <v>22</v>
      </c>
    </row>
    <row r="84" spans="1:5" x14ac:dyDescent="0.15">
      <c r="A84" s="21">
        <v>36697</v>
      </c>
      <c r="B84" t="s">
        <v>212</v>
      </c>
      <c r="C84" t="s">
        <v>170</v>
      </c>
      <c r="D84" s="22">
        <v>40650</v>
      </c>
      <c r="E84" s="22">
        <v>17</v>
      </c>
    </row>
    <row r="85" spans="1:5" x14ac:dyDescent="0.15">
      <c r="A85" s="21">
        <v>36700</v>
      </c>
      <c r="B85" t="s">
        <v>213</v>
      </c>
      <c r="C85" t="s">
        <v>146</v>
      </c>
      <c r="D85" s="22">
        <v>50280</v>
      </c>
      <c r="E85" s="22">
        <v>20</v>
      </c>
    </row>
    <row r="86" spans="1:5" x14ac:dyDescent="0.15">
      <c r="A86" s="21">
        <v>36700</v>
      </c>
      <c r="B86" t="s">
        <v>213</v>
      </c>
      <c r="C86" t="s">
        <v>146</v>
      </c>
      <c r="D86" s="22">
        <v>1050</v>
      </c>
      <c r="E86" s="22">
        <v>21</v>
      </c>
    </row>
    <row r="87" spans="1:5" x14ac:dyDescent="0.15">
      <c r="A87" s="21">
        <v>36705</v>
      </c>
      <c r="B87" t="s">
        <v>214</v>
      </c>
      <c r="C87" t="s">
        <v>204</v>
      </c>
      <c r="D87" s="22">
        <v>4950</v>
      </c>
      <c r="E87" s="22">
        <v>28</v>
      </c>
    </row>
  </sheetData>
  <mergeCells count="9">
    <mergeCell ref="G19:I19"/>
    <mergeCell ref="L19:P19"/>
    <mergeCell ref="L20:Q26"/>
    <mergeCell ref="L4:N4"/>
    <mergeCell ref="L5:Q8"/>
    <mergeCell ref="G9:I9"/>
    <mergeCell ref="G11:I11"/>
    <mergeCell ref="L12:P12"/>
    <mergeCell ref="L13:Q16"/>
  </mergeCells>
  <dataValidations count="1">
    <dataValidation type="list" allowBlank="1" showInputMessage="1" showErrorMessage="1" sqref="J11 J9" xr:uid="{28E58F32-3AD8-874C-966B-C3ADAA51CE12}">
      <formula1>$C$9:$C$87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D714-2794-4243-8223-ABDFA053947A}">
  <dimension ref="A1:R87"/>
  <sheetViews>
    <sheetView zoomScale="80" zoomScaleNormal="80" workbookViewId="0">
      <selection activeCell="J9" sqref="J9"/>
    </sheetView>
  </sheetViews>
  <sheetFormatPr baseColWidth="10" defaultRowHeight="13" x14ac:dyDescent="0.15"/>
  <cols>
    <col min="1" max="1" width="8.1640625" bestFit="1" customWidth="1"/>
    <col min="2" max="2" width="27.5" bestFit="1" customWidth="1"/>
    <col min="3" max="3" width="20.6640625" bestFit="1" customWidth="1"/>
    <col min="4" max="4" width="16" bestFit="1" customWidth="1"/>
    <col min="5" max="5" width="20.5" bestFit="1" customWidth="1"/>
    <col min="7" max="7" width="8.1640625" style="35" customWidth="1"/>
    <col min="8" max="8" width="27.5" style="36" bestFit="1" customWidth="1"/>
    <col min="9" max="9" width="20.6640625" style="36" bestFit="1" customWidth="1"/>
    <col min="10" max="10" width="16.83203125" style="92" bestFit="1" customWidth="1"/>
    <col min="11" max="11" width="11" style="92" bestFit="1" customWidth="1"/>
    <col min="12" max="12" width="11" style="92" customWidth="1"/>
    <col min="14" max="14" width="20.6640625" customWidth="1"/>
    <col min="15" max="15" width="14.6640625" bestFit="1" customWidth="1"/>
    <col min="16" max="16" width="11" bestFit="1" customWidth="1"/>
  </cols>
  <sheetData>
    <row r="1" spans="1:18" x14ac:dyDescent="0.15">
      <c r="G1"/>
      <c r="H1"/>
      <c r="I1"/>
      <c r="J1"/>
      <c r="K1"/>
      <c r="L1"/>
    </row>
    <row r="2" spans="1:18" x14ac:dyDescent="0.15">
      <c r="G2"/>
      <c r="H2"/>
      <c r="I2"/>
      <c r="J2"/>
      <c r="K2"/>
      <c r="L2"/>
    </row>
    <row r="3" spans="1:18" ht="14" thickBot="1" x14ac:dyDescent="0.2">
      <c r="G3"/>
      <c r="H3"/>
      <c r="I3"/>
      <c r="J3"/>
      <c r="K3"/>
      <c r="L3"/>
      <c r="M3" s="5"/>
    </row>
    <row r="4" spans="1:18" ht="14" thickBot="1" x14ac:dyDescent="0.2">
      <c r="G4"/>
      <c r="H4"/>
      <c r="I4"/>
      <c r="J4"/>
      <c r="K4"/>
      <c r="L4"/>
      <c r="M4" s="6" t="s">
        <v>133</v>
      </c>
      <c r="N4" s="7"/>
      <c r="O4" s="8"/>
    </row>
    <row r="5" spans="1:18" x14ac:dyDescent="0.15">
      <c r="G5"/>
      <c r="H5"/>
      <c r="I5"/>
      <c r="J5"/>
      <c r="K5"/>
      <c r="L5"/>
      <c r="M5" s="9" t="s">
        <v>134</v>
      </c>
      <c r="N5" s="10"/>
      <c r="O5" s="10"/>
      <c r="P5" s="10"/>
      <c r="Q5" s="10"/>
      <c r="R5" s="11"/>
    </row>
    <row r="6" spans="1:18" x14ac:dyDescent="0.15">
      <c r="G6"/>
      <c r="H6"/>
      <c r="I6"/>
      <c r="J6"/>
      <c r="K6"/>
      <c r="L6"/>
      <c r="M6" s="12"/>
      <c r="N6" s="13"/>
      <c r="O6" s="13"/>
      <c r="P6" s="13"/>
      <c r="Q6" s="13"/>
      <c r="R6" s="14"/>
    </row>
    <row r="7" spans="1:18" x14ac:dyDescent="0.15">
      <c r="G7"/>
      <c r="H7"/>
      <c r="I7"/>
      <c r="J7"/>
      <c r="K7"/>
      <c r="L7"/>
      <c r="M7" s="12"/>
      <c r="N7" s="13"/>
      <c r="O7" s="13"/>
      <c r="P7" s="13"/>
      <c r="Q7" s="13"/>
      <c r="R7" s="14"/>
    </row>
    <row r="8" spans="1:18" ht="14" thickBot="1" x14ac:dyDescent="0.2">
      <c r="A8" s="15" t="s">
        <v>135</v>
      </c>
      <c r="B8" s="16" t="s">
        <v>136</v>
      </c>
      <c r="C8" s="16" t="s">
        <v>137</v>
      </c>
      <c r="D8" s="17" t="s">
        <v>138</v>
      </c>
      <c r="E8" s="17" t="s">
        <v>139</v>
      </c>
      <c r="G8"/>
      <c r="H8"/>
      <c r="I8"/>
      <c r="J8"/>
      <c r="K8"/>
      <c r="L8"/>
      <c r="M8" s="18"/>
      <c r="N8" s="19"/>
      <c r="O8" s="19"/>
      <c r="P8" s="19"/>
      <c r="Q8" s="19"/>
      <c r="R8" s="20"/>
    </row>
    <row r="9" spans="1:18" ht="14" thickBot="1" x14ac:dyDescent="0.2">
      <c r="A9" s="21">
        <v>36529</v>
      </c>
      <c r="B9" t="s">
        <v>140</v>
      </c>
      <c r="C9" t="s">
        <v>141</v>
      </c>
      <c r="D9" s="22">
        <v>50000</v>
      </c>
      <c r="E9" s="22">
        <v>16</v>
      </c>
      <c r="G9" s="72" t="s">
        <v>142</v>
      </c>
      <c r="H9" s="73"/>
      <c r="I9" s="74"/>
      <c r="J9" s="26" t="s">
        <v>156</v>
      </c>
      <c r="K9" s="27">
        <f>COUNTIF(Fatture7[Categoria],J9)</f>
        <v>2</v>
      </c>
      <c r="L9" s="105"/>
    </row>
    <row r="10" spans="1:18" ht="14" thickBot="1" x14ac:dyDescent="0.2">
      <c r="A10" s="21">
        <v>36534</v>
      </c>
      <c r="B10" t="s">
        <v>144</v>
      </c>
      <c r="C10" t="s">
        <v>141</v>
      </c>
      <c r="D10" s="22">
        <v>29970</v>
      </c>
      <c r="E10" s="22">
        <v>29</v>
      </c>
      <c r="G10" s="28"/>
      <c r="H10" s="28"/>
      <c r="I10" s="28"/>
      <c r="J10" s="29"/>
      <c r="K10" s="28"/>
      <c r="L10" s="106"/>
    </row>
    <row r="11" spans="1:18" ht="14" thickBot="1" x14ac:dyDescent="0.2">
      <c r="A11" s="21">
        <v>36537</v>
      </c>
      <c r="B11" t="s">
        <v>145</v>
      </c>
      <c r="C11" t="s">
        <v>146</v>
      </c>
      <c r="D11" s="22">
        <v>27560</v>
      </c>
      <c r="E11" s="22">
        <v>21</v>
      </c>
      <c r="G11" s="72" t="s">
        <v>147</v>
      </c>
      <c r="H11" s="73"/>
      <c r="I11" s="74"/>
      <c r="J11" s="26" t="s">
        <v>186</v>
      </c>
      <c r="K11" s="30">
        <f>SUMIF(Fatture7[Categoria],J11,Fatture7[Importo fattura])</f>
        <v>20000</v>
      </c>
      <c r="L11" s="107"/>
    </row>
    <row r="12" spans="1:18" ht="14" thickBot="1" x14ac:dyDescent="0.2">
      <c r="A12" s="21">
        <v>36543</v>
      </c>
      <c r="B12" t="s">
        <v>148</v>
      </c>
      <c r="C12" t="s">
        <v>149</v>
      </c>
      <c r="D12" s="22">
        <v>43500</v>
      </c>
      <c r="E12" s="22">
        <v>29</v>
      </c>
      <c r="G12"/>
      <c r="H12"/>
      <c r="I12"/>
      <c r="J12"/>
      <c r="K12"/>
      <c r="L12"/>
      <c r="M12" s="6" t="s">
        <v>150</v>
      </c>
      <c r="N12" s="7"/>
      <c r="O12" s="7"/>
      <c r="P12" s="7"/>
      <c r="Q12" s="8"/>
    </row>
    <row r="13" spans="1:18" x14ac:dyDescent="0.15">
      <c r="A13" s="21">
        <v>36545</v>
      </c>
      <c r="B13" t="s">
        <v>151</v>
      </c>
      <c r="C13" t="s">
        <v>152</v>
      </c>
      <c r="D13" s="22">
        <v>13500</v>
      </c>
      <c r="E13" s="22">
        <v>15</v>
      </c>
      <c r="G13"/>
      <c r="H13"/>
      <c r="I13"/>
      <c r="J13"/>
      <c r="K13"/>
      <c r="L13"/>
      <c r="M13" s="9" t="s">
        <v>153</v>
      </c>
      <c r="N13" s="10"/>
      <c r="O13" s="10"/>
      <c r="P13" s="10"/>
      <c r="Q13" s="10"/>
      <c r="R13" s="11"/>
    </row>
    <row r="14" spans="1:18" x14ac:dyDescent="0.15">
      <c r="A14" s="21">
        <v>36547</v>
      </c>
      <c r="B14" t="s">
        <v>154</v>
      </c>
      <c r="C14" t="s">
        <v>143</v>
      </c>
      <c r="D14" s="22">
        <v>50800</v>
      </c>
      <c r="E14" s="22">
        <v>22</v>
      </c>
      <c r="G14"/>
      <c r="H14"/>
      <c r="I14"/>
      <c r="J14"/>
      <c r="K14"/>
      <c r="L14"/>
      <c r="M14" s="12"/>
      <c r="N14" s="13"/>
      <c r="O14" s="13"/>
      <c r="P14" s="13"/>
      <c r="Q14" s="13"/>
      <c r="R14" s="14"/>
    </row>
    <row r="15" spans="1:18" x14ac:dyDescent="0.15">
      <c r="A15" s="21">
        <v>36548</v>
      </c>
      <c r="B15" t="s">
        <v>155</v>
      </c>
      <c r="C15" t="s">
        <v>156</v>
      </c>
      <c r="D15" s="22">
        <v>98450</v>
      </c>
      <c r="E15" s="22">
        <v>21</v>
      </c>
      <c r="G15"/>
      <c r="H15"/>
      <c r="I15"/>
      <c r="J15"/>
      <c r="K15"/>
      <c r="L15"/>
      <c r="M15" s="12"/>
      <c r="N15" s="13"/>
      <c r="O15" s="13"/>
      <c r="P15" s="13"/>
      <c r="Q15" s="13"/>
      <c r="R15" s="14"/>
    </row>
    <row r="16" spans="1:18" ht="14" thickBot="1" x14ac:dyDescent="0.2">
      <c r="A16" s="21">
        <v>36551</v>
      </c>
      <c r="B16" t="s">
        <v>145</v>
      </c>
      <c r="C16" t="s">
        <v>146</v>
      </c>
      <c r="D16" s="22">
        <v>45890</v>
      </c>
      <c r="E16" s="22">
        <v>18</v>
      </c>
      <c r="G16"/>
      <c r="H16"/>
      <c r="I16"/>
      <c r="J16"/>
      <c r="K16"/>
      <c r="L16"/>
      <c r="M16" s="18"/>
      <c r="N16" s="19"/>
      <c r="O16" s="19"/>
      <c r="P16" s="19"/>
      <c r="Q16" s="19"/>
      <c r="R16" s="20"/>
    </row>
    <row r="17" spans="1:18" x14ac:dyDescent="0.15">
      <c r="A17" s="21">
        <v>36552</v>
      </c>
      <c r="B17" t="s">
        <v>157</v>
      </c>
      <c r="C17" t="s">
        <v>158</v>
      </c>
      <c r="D17" s="22">
        <v>7950</v>
      </c>
      <c r="E17" s="22">
        <v>23</v>
      </c>
      <c r="G17"/>
      <c r="H17"/>
      <c r="I17"/>
      <c r="J17"/>
      <c r="K17"/>
      <c r="L17"/>
    </row>
    <row r="18" spans="1:18" ht="14" thickBot="1" x14ac:dyDescent="0.2">
      <c r="A18" s="21">
        <v>36553</v>
      </c>
      <c r="B18" t="s">
        <v>159</v>
      </c>
      <c r="C18" t="s">
        <v>156</v>
      </c>
      <c r="D18" s="22">
        <v>87450</v>
      </c>
      <c r="E18" s="22">
        <v>24</v>
      </c>
      <c r="G18"/>
      <c r="H18"/>
      <c r="I18"/>
      <c r="J18"/>
      <c r="K18"/>
      <c r="L18"/>
    </row>
    <row r="19" spans="1:18" ht="14" thickBot="1" x14ac:dyDescent="0.2">
      <c r="A19" s="21">
        <v>36554</v>
      </c>
      <c r="B19" t="s">
        <v>160</v>
      </c>
      <c r="C19" t="s">
        <v>161</v>
      </c>
      <c r="D19" s="22">
        <v>295000</v>
      </c>
      <c r="E19" s="22">
        <v>27</v>
      </c>
      <c r="G19" s="69" t="s">
        <v>215</v>
      </c>
      <c r="H19" s="70"/>
      <c r="I19" s="71"/>
      <c r="J19" s="64">
        <v>40000</v>
      </c>
      <c r="K19"/>
      <c r="L19"/>
      <c r="M19" s="38" t="s">
        <v>216</v>
      </c>
      <c r="N19" s="39"/>
      <c r="O19" s="39"/>
      <c r="P19" s="39"/>
      <c r="Q19" s="40"/>
    </row>
    <row r="20" spans="1:18" x14ac:dyDescent="0.15">
      <c r="A20" s="21">
        <v>36555</v>
      </c>
      <c r="B20" t="s">
        <v>148</v>
      </c>
      <c r="C20" t="s">
        <v>162</v>
      </c>
      <c r="D20" s="22">
        <v>348980</v>
      </c>
      <c r="E20" s="22">
        <v>15</v>
      </c>
      <c r="G20"/>
      <c r="H20"/>
      <c r="I20"/>
      <c r="J20"/>
      <c r="K20"/>
      <c r="L20"/>
      <c r="M20" s="42" t="s">
        <v>217</v>
      </c>
      <c r="N20" s="43"/>
      <c r="O20" s="43"/>
      <c r="P20" s="43"/>
      <c r="Q20" s="43"/>
      <c r="R20" s="44"/>
    </row>
    <row r="21" spans="1:18" x14ac:dyDescent="0.15">
      <c r="A21" s="21">
        <v>36558</v>
      </c>
      <c r="B21" t="s">
        <v>163</v>
      </c>
      <c r="C21" t="s">
        <v>164</v>
      </c>
      <c r="D21" s="22">
        <v>127490</v>
      </c>
      <c r="E21" s="22">
        <v>17</v>
      </c>
      <c r="G21" s="88" cm="1">
        <f t="array" ref="G21:K53">_xlfn._xlws.SORT(_xlfn._xlws.FILTER(Fatture7[],Fatture7[Importo fattura]&gt;J19,),4,-1)</f>
        <v>36604</v>
      </c>
      <c r="H21" s="56" t="str">
        <v>Gateway 2000</v>
      </c>
      <c r="I21" s="56" t="str">
        <v>Hardware</v>
      </c>
      <c r="J21" s="91">
        <v>2425000</v>
      </c>
      <c r="K21" s="91">
        <v>11</v>
      </c>
      <c r="L21" s="91"/>
      <c r="M21" s="45"/>
      <c r="N21" s="46"/>
      <c r="O21" s="46"/>
      <c r="P21" s="46"/>
      <c r="Q21" s="46"/>
      <c r="R21" s="47"/>
    </row>
    <row r="22" spans="1:18" x14ac:dyDescent="0.15">
      <c r="A22" s="21">
        <v>36558</v>
      </c>
      <c r="B22" t="s">
        <v>165</v>
      </c>
      <c r="C22" t="s">
        <v>146</v>
      </c>
      <c r="D22" s="22">
        <v>49400</v>
      </c>
      <c r="E22" s="22">
        <v>13</v>
      </c>
      <c r="G22" s="88">
        <v>36649</v>
      </c>
      <c r="H22" s="56" t="str">
        <v>Gateway 2000</v>
      </c>
      <c r="I22" s="56" t="str">
        <v>Hardware</v>
      </c>
      <c r="J22" s="91">
        <v>2425000</v>
      </c>
      <c r="K22" s="91">
        <v>21</v>
      </c>
      <c r="L22" s="91"/>
      <c r="M22" s="45"/>
      <c r="N22" s="46"/>
      <c r="O22" s="46"/>
      <c r="P22" s="46"/>
      <c r="Q22" s="46"/>
      <c r="R22" s="47"/>
    </row>
    <row r="23" spans="1:18" x14ac:dyDescent="0.15">
      <c r="A23" s="21">
        <v>36573</v>
      </c>
      <c r="B23" t="s">
        <v>166</v>
      </c>
      <c r="C23" t="s">
        <v>167</v>
      </c>
      <c r="D23" s="22">
        <v>201000</v>
      </c>
      <c r="E23" s="22">
        <v>14</v>
      </c>
      <c r="G23" s="88">
        <v>36651</v>
      </c>
      <c r="H23" s="56" t="str">
        <v>Gateway 2000</v>
      </c>
      <c r="I23" s="56" t="str">
        <v>Hardware</v>
      </c>
      <c r="J23" s="91">
        <v>1860000</v>
      </c>
      <c r="K23" s="91">
        <v>19</v>
      </c>
      <c r="L23" s="91"/>
      <c r="M23" s="45"/>
      <c r="N23" s="46"/>
      <c r="O23" s="46"/>
      <c r="P23" s="46"/>
      <c r="Q23" s="46"/>
      <c r="R23" s="47"/>
    </row>
    <row r="24" spans="1:18" x14ac:dyDescent="0.15">
      <c r="A24" s="21">
        <v>36573</v>
      </c>
      <c r="B24" t="s">
        <v>168</v>
      </c>
      <c r="C24" t="s">
        <v>167</v>
      </c>
      <c r="D24" s="22">
        <v>1368000</v>
      </c>
      <c r="E24" s="22">
        <v>28</v>
      </c>
      <c r="G24" s="88">
        <v>36573</v>
      </c>
      <c r="H24" s="56" t="str">
        <v>American Airlines</v>
      </c>
      <c r="I24" s="56" t="str">
        <v>Viaggio d'affari</v>
      </c>
      <c r="J24" s="91">
        <v>1368000</v>
      </c>
      <c r="K24" s="91">
        <v>28</v>
      </c>
      <c r="L24" s="91"/>
      <c r="M24" s="45"/>
      <c r="N24" s="46"/>
      <c r="O24" s="46"/>
      <c r="P24" s="46"/>
      <c r="Q24" s="46"/>
      <c r="R24" s="47"/>
    </row>
    <row r="25" spans="1:18" x14ac:dyDescent="0.15">
      <c r="A25" s="21">
        <v>36576</v>
      </c>
      <c r="B25" t="s">
        <v>169</v>
      </c>
      <c r="C25" t="s">
        <v>170</v>
      </c>
      <c r="D25" s="22">
        <v>36850</v>
      </c>
      <c r="E25" s="22">
        <v>16</v>
      </c>
      <c r="G25" s="88">
        <v>36555</v>
      </c>
      <c r="H25" s="56" t="str">
        <v>Fletcher's for Children</v>
      </c>
      <c r="I25" s="56" t="str">
        <v>Mobili</v>
      </c>
      <c r="J25" s="91">
        <v>348980</v>
      </c>
      <c r="K25" s="91">
        <v>15</v>
      </c>
      <c r="L25" s="91"/>
      <c r="M25" s="45"/>
      <c r="N25" s="46"/>
      <c r="O25" s="46"/>
      <c r="P25" s="46"/>
      <c r="Q25" s="46"/>
      <c r="R25" s="47"/>
    </row>
    <row r="26" spans="1:18" ht="14" thickBot="1" x14ac:dyDescent="0.2">
      <c r="A26" s="21">
        <v>36580</v>
      </c>
      <c r="B26" t="s">
        <v>171</v>
      </c>
      <c r="C26" t="s">
        <v>141</v>
      </c>
      <c r="D26" s="22">
        <v>151500</v>
      </c>
      <c r="E26" s="22">
        <v>13</v>
      </c>
      <c r="G26" s="88">
        <v>36554</v>
      </c>
      <c r="H26" s="56" t="str">
        <v>Agora Publishing</v>
      </c>
      <c r="I26" s="56" t="str">
        <v>Manuali</v>
      </c>
      <c r="J26" s="91">
        <v>295000</v>
      </c>
      <c r="K26" s="91">
        <v>27</v>
      </c>
      <c r="L26" s="91"/>
      <c r="M26" s="48"/>
      <c r="N26" s="49"/>
      <c r="O26" s="49"/>
      <c r="P26" s="49"/>
      <c r="Q26" s="49"/>
      <c r="R26" s="50"/>
    </row>
    <row r="27" spans="1:18" x14ac:dyDescent="0.15">
      <c r="A27" s="21">
        <v>36589</v>
      </c>
      <c r="B27" t="s">
        <v>151</v>
      </c>
      <c r="C27" t="s">
        <v>152</v>
      </c>
      <c r="D27" s="22">
        <v>13500</v>
      </c>
      <c r="E27" s="22">
        <v>20</v>
      </c>
      <c r="G27" s="88">
        <v>36573</v>
      </c>
      <c r="H27" s="56" t="str">
        <v>Alaska Airlines</v>
      </c>
      <c r="I27" s="56" t="str">
        <v>Viaggio d'affari</v>
      </c>
      <c r="J27" s="91">
        <v>201000</v>
      </c>
      <c r="K27" s="91">
        <v>14</v>
      </c>
      <c r="L27" s="91"/>
    </row>
    <row r="28" spans="1:18" x14ac:dyDescent="0.15">
      <c r="A28" s="21">
        <v>36593</v>
      </c>
      <c r="B28" t="s">
        <v>172</v>
      </c>
      <c r="C28" t="s">
        <v>173</v>
      </c>
      <c r="D28" s="22">
        <v>17000</v>
      </c>
      <c r="E28" s="22">
        <v>18</v>
      </c>
      <c r="G28" s="88">
        <v>36596</v>
      </c>
      <c r="H28" s="56" t="str">
        <v>DAK Industries</v>
      </c>
      <c r="I28" s="56" t="str">
        <v>Mobili</v>
      </c>
      <c r="J28" s="91">
        <v>183900</v>
      </c>
      <c r="K28" s="91">
        <v>26</v>
      </c>
      <c r="L28" s="91"/>
    </row>
    <row r="29" spans="1:18" ht="14" thickBot="1" x14ac:dyDescent="0.2">
      <c r="A29" s="21">
        <v>36594</v>
      </c>
      <c r="B29" t="s">
        <v>174</v>
      </c>
      <c r="C29" t="s">
        <v>146</v>
      </c>
      <c r="D29" s="22">
        <v>35900</v>
      </c>
      <c r="E29" s="22">
        <v>16</v>
      </c>
      <c r="G29" s="88">
        <v>36637</v>
      </c>
      <c r="H29" s="56" t="str">
        <v>DAK Industries</v>
      </c>
      <c r="I29" s="56" t="str">
        <v>Mobili</v>
      </c>
      <c r="J29" s="91">
        <v>183900</v>
      </c>
      <c r="K29" s="91">
        <v>18</v>
      </c>
      <c r="L29" s="91"/>
    </row>
    <row r="30" spans="1:18" x14ac:dyDescent="0.15">
      <c r="A30" s="21">
        <v>36594</v>
      </c>
      <c r="B30" t="s">
        <v>175</v>
      </c>
      <c r="C30" t="s">
        <v>176</v>
      </c>
      <c r="D30" s="22">
        <v>27270</v>
      </c>
      <c r="E30" s="22">
        <v>14</v>
      </c>
      <c r="G30" s="88">
        <v>36596</v>
      </c>
      <c r="H30" s="56" t="str">
        <v>After the Stork</v>
      </c>
      <c r="I30" s="56" t="str">
        <v>Abbigliamento</v>
      </c>
      <c r="J30" s="91">
        <v>163500</v>
      </c>
      <c r="K30" s="91">
        <v>18</v>
      </c>
      <c r="L30" s="91"/>
      <c r="M30" s="67" t="s">
        <v>218</v>
      </c>
      <c r="N30" s="89"/>
      <c r="O30" s="65">
        <f>SUM(Fatture7[[#All],[Importo fattura]])</f>
        <v>11954160</v>
      </c>
      <c r="P30" s="37"/>
      <c r="Q30" s="37"/>
    </row>
    <row r="31" spans="1:18" ht="14" thickBot="1" x14ac:dyDescent="0.2">
      <c r="A31" s="21">
        <v>36594</v>
      </c>
      <c r="B31" t="s">
        <v>177</v>
      </c>
      <c r="C31" t="s">
        <v>176</v>
      </c>
      <c r="D31" s="22">
        <v>13400</v>
      </c>
      <c r="E31" s="22">
        <v>14</v>
      </c>
      <c r="G31" s="88">
        <v>36580</v>
      </c>
      <c r="H31" s="56" t="str">
        <v>Biobottoms</v>
      </c>
      <c r="I31" s="56" t="str">
        <v>Abbigliamento</v>
      </c>
      <c r="J31" s="91">
        <v>151500</v>
      </c>
      <c r="K31" s="91">
        <v>13</v>
      </c>
      <c r="L31" s="91"/>
      <c r="M31" s="68" t="s">
        <v>219</v>
      </c>
      <c r="N31" s="90"/>
      <c r="O31" s="66">
        <f>SUM(Fatture7[[#All],[Spese di spedizione]])</f>
        <v>1526</v>
      </c>
      <c r="P31" s="37"/>
      <c r="Q31" s="37"/>
    </row>
    <row r="32" spans="1:18" ht="14" thickBot="1" x14ac:dyDescent="0.2">
      <c r="A32" s="21">
        <v>36595</v>
      </c>
      <c r="B32" t="s">
        <v>171</v>
      </c>
      <c r="C32" t="s">
        <v>141</v>
      </c>
      <c r="D32" s="22">
        <v>19000</v>
      </c>
      <c r="E32" s="22">
        <v>17</v>
      </c>
      <c r="G32" s="88">
        <v>36596</v>
      </c>
      <c r="H32" s="56" t="str">
        <v>Avis</v>
      </c>
      <c r="I32" s="56" t="str">
        <v>Viaggio d'affari: trasporto</v>
      </c>
      <c r="J32" s="91">
        <v>127950</v>
      </c>
      <c r="K32" s="91">
        <v>20</v>
      </c>
      <c r="L32" s="91"/>
      <c r="M32" s="35"/>
      <c r="N32" s="36"/>
      <c r="O32" s="36"/>
      <c r="P32" s="37"/>
      <c r="Q32" s="37"/>
    </row>
    <row r="33" spans="1:17" x14ac:dyDescent="0.15">
      <c r="A33" s="21">
        <v>36595</v>
      </c>
      <c r="B33" t="s">
        <v>174</v>
      </c>
      <c r="C33" t="s">
        <v>146</v>
      </c>
      <c r="D33" s="22">
        <v>71800</v>
      </c>
      <c r="E33" s="22">
        <v>18</v>
      </c>
      <c r="G33" s="88">
        <v>36558</v>
      </c>
      <c r="H33" s="56" t="str">
        <v>Furrow Building Materials</v>
      </c>
      <c r="I33" s="56" t="str">
        <v>Educazione dei figli</v>
      </c>
      <c r="J33" s="91">
        <v>127490</v>
      </c>
      <c r="K33" s="91">
        <v>17</v>
      </c>
      <c r="L33" s="91"/>
      <c r="M33" s="75" t="s">
        <v>220</v>
      </c>
      <c r="N33" s="76"/>
      <c r="O33" s="76"/>
      <c r="P33" s="76"/>
      <c r="Q33" s="77"/>
    </row>
    <row r="34" spans="1:17" x14ac:dyDescent="0.15">
      <c r="A34" s="21">
        <v>36595</v>
      </c>
      <c r="B34" t="s">
        <v>177</v>
      </c>
      <c r="C34" t="s">
        <v>176</v>
      </c>
      <c r="D34" s="22">
        <v>12280</v>
      </c>
      <c r="E34" s="22">
        <v>14</v>
      </c>
      <c r="G34" s="88">
        <v>36598</v>
      </c>
      <c r="H34" s="56" t="str">
        <v>Furrow Building Materials</v>
      </c>
      <c r="I34" s="56" t="str">
        <v>Educazione dei figli</v>
      </c>
      <c r="J34" s="91">
        <v>127490</v>
      </c>
      <c r="K34" s="91">
        <v>21</v>
      </c>
      <c r="L34" s="91"/>
      <c r="M34" s="78"/>
      <c r="N34" s="79"/>
      <c r="O34" s="79"/>
      <c r="P34" s="79"/>
      <c r="Q34" s="80"/>
    </row>
    <row r="35" spans="1:17" x14ac:dyDescent="0.15">
      <c r="A35" s="21">
        <v>36595</v>
      </c>
      <c r="B35" t="s">
        <v>177</v>
      </c>
      <c r="C35" t="s">
        <v>176</v>
      </c>
      <c r="D35" s="22">
        <v>14670</v>
      </c>
      <c r="E35" s="22">
        <v>17</v>
      </c>
      <c r="G35" s="35">
        <v>36548</v>
      </c>
      <c r="H35" s="36" t="str">
        <v>Canon USA</v>
      </c>
      <c r="I35" s="36" t="str">
        <v>Ufficio</v>
      </c>
      <c r="J35" s="92">
        <v>98450</v>
      </c>
      <c r="K35" s="92">
        <v>21</v>
      </c>
      <c r="M35" s="78"/>
      <c r="N35" s="79"/>
      <c r="O35" s="79"/>
      <c r="P35" s="79"/>
      <c r="Q35" s="80"/>
    </row>
    <row r="36" spans="1:17" x14ac:dyDescent="0.15">
      <c r="A36" s="21">
        <v>36596</v>
      </c>
      <c r="B36" t="s">
        <v>178</v>
      </c>
      <c r="C36" t="s">
        <v>141</v>
      </c>
      <c r="D36" s="22">
        <v>163500</v>
      </c>
      <c r="E36" s="22">
        <v>18</v>
      </c>
      <c r="G36" s="35">
        <v>36553</v>
      </c>
      <c r="H36" s="36" t="str">
        <v>Deluxe Business Forms</v>
      </c>
      <c r="I36" s="36" t="str">
        <v>Ufficio</v>
      </c>
      <c r="J36" s="92">
        <v>87450</v>
      </c>
      <c r="K36" s="92">
        <v>24</v>
      </c>
      <c r="M36" s="78"/>
      <c r="N36" s="79"/>
      <c r="O36" s="79"/>
      <c r="P36" s="79"/>
      <c r="Q36" s="80"/>
    </row>
    <row r="37" spans="1:17" x14ac:dyDescent="0.15">
      <c r="A37" s="21">
        <v>36596</v>
      </c>
      <c r="B37" t="s">
        <v>179</v>
      </c>
      <c r="C37" t="s">
        <v>162</v>
      </c>
      <c r="D37" s="22">
        <v>183900</v>
      </c>
      <c r="E37" s="22">
        <v>26</v>
      </c>
      <c r="G37" s="35">
        <v>36603</v>
      </c>
      <c r="H37" s="36" t="str">
        <v>Chinaberry Book</v>
      </c>
      <c r="I37" s="36" t="str">
        <v>Svago</v>
      </c>
      <c r="J37" s="93">
        <v>87300</v>
      </c>
      <c r="K37" s="93">
        <v>18</v>
      </c>
      <c r="L37" s="93"/>
      <c r="M37" s="78"/>
      <c r="N37" s="79"/>
      <c r="O37" s="79"/>
      <c r="P37" s="79"/>
      <c r="Q37" s="80"/>
    </row>
    <row r="38" spans="1:17" ht="14" thickBot="1" x14ac:dyDescent="0.2">
      <c r="A38" s="21">
        <v>36596</v>
      </c>
      <c r="B38" t="s">
        <v>180</v>
      </c>
      <c r="C38" t="s">
        <v>181</v>
      </c>
      <c r="D38" s="22">
        <v>43500</v>
      </c>
      <c r="E38" s="22">
        <v>16</v>
      </c>
      <c r="G38" s="35">
        <v>36629</v>
      </c>
      <c r="H38" s="36" t="str">
        <v>DeLorme Publishing</v>
      </c>
      <c r="I38" s="36" t="str">
        <v>Software ufficio</v>
      </c>
      <c r="J38" s="93">
        <v>84500</v>
      </c>
      <c r="K38" s="93">
        <v>21</v>
      </c>
      <c r="L38" s="93"/>
      <c r="M38" s="81"/>
      <c r="N38" s="82"/>
      <c r="O38" s="82"/>
      <c r="P38" s="82"/>
      <c r="Q38" s="83"/>
    </row>
    <row r="39" spans="1:17" x14ac:dyDescent="0.15">
      <c r="A39" s="21">
        <v>36596</v>
      </c>
      <c r="B39" t="s">
        <v>182</v>
      </c>
      <c r="C39" t="s">
        <v>176</v>
      </c>
      <c r="D39" s="22">
        <v>10730</v>
      </c>
      <c r="E39" s="22">
        <v>17</v>
      </c>
      <c r="G39" s="35">
        <v>36637</v>
      </c>
      <c r="H39" s="36" t="str">
        <v>Biobottoms</v>
      </c>
      <c r="I39" s="36" t="str">
        <v>Abbigliamento</v>
      </c>
      <c r="J39" s="93">
        <v>81500</v>
      </c>
      <c r="K39" s="93">
        <v>25</v>
      </c>
      <c r="L39" s="93"/>
      <c r="M39" s="35"/>
      <c r="N39" s="36"/>
      <c r="O39" s="36"/>
      <c r="P39" s="37"/>
      <c r="Q39" s="37"/>
    </row>
    <row r="40" spans="1:17" x14ac:dyDescent="0.15">
      <c r="A40" s="21">
        <v>36596</v>
      </c>
      <c r="B40" t="s">
        <v>183</v>
      </c>
      <c r="C40" t="s">
        <v>176</v>
      </c>
      <c r="D40" s="22">
        <v>11210</v>
      </c>
      <c r="E40" s="22">
        <v>25</v>
      </c>
      <c r="G40" s="35">
        <v>36609</v>
      </c>
      <c r="H40" s="36" t="str">
        <v>Avis</v>
      </c>
      <c r="I40" s="36" t="str">
        <v>Viaggio d'affari: trasporto</v>
      </c>
      <c r="J40" s="93">
        <v>78530</v>
      </c>
      <c r="K40" s="93">
        <v>25</v>
      </c>
      <c r="L40" s="93"/>
      <c r="M40" s="35"/>
      <c r="N40" s="36"/>
      <c r="O40" s="36"/>
      <c r="P40" s="37"/>
      <c r="Q40" s="37"/>
    </row>
    <row r="41" spans="1:17" ht="14" thickBot="1" x14ac:dyDescent="0.2">
      <c r="A41" s="21">
        <v>36596</v>
      </c>
      <c r="B41" t="s">
        <v>184</v>
      </c>
      <c r="C41" t="s">
        <v>173</v>
      </c>
      <c r="D41" s="22">
        <v>127950</v>
      </c>
      <c r="E41" s="22">
        <v>20</v>
      </c>
      <c r="G41" s="35">
        <v>36595</v>
      </c>
      <c r="H41" s="36" t="str">
        <v>Epcot Center</v>
      </c>
      <c r="I41" s="36" t="str">
        <v>Svago</v>
      </c>
      <c r="J41" s="93">
        <v>71800</v>
      </c>
      <c r="K41" s="93">
        <v>18</v>
      </c>
      <c r="L41" s="93"/>
      <c r="M41" s="35"/>
      <c r="N41" s="36"/>
      <c r="O41" s="36"/>
      <c r="P41" s="37"/>
      <c r="Q41" s="37"/>
    </row>
    <row r="42" spans="1:17" ht="14" thickBot="1" x14ac:dyDescent="0.2">
      <c r="A42" s="21">
        <v>36597</v>
      </c>
      <c r="B42" t="s">
        <v>185</v>
      </c>
      <c r="C42" t="s">
        <v>186</v>
      </c>
      <c r="D42" s="22">
        <v>20000</v>
      </c>
      <c r="E42" s="22">
        <v>23</v>
      </c>
      <c r="G42" s="35">
        <v>36624</v>
      </c>
      <c r="H42" s="36" t="str">
        <v>Elco Computers</v>
      </c>
      <c r="I42" s="36" t="str">
        <v>Hardware</v>
      </c>
      <c r="J42" s="93">
        <v>55600</v>
      </c>
      <c r="K42" s="93">
        <v>11</v>
      </c>
      <c r="L42" s="93"/>
      <c r="M42" s="84" t="s">
        <v>221</v>
      </c>
      <c r="N42" s="85"/>
      <c r="O42" s="86" t="s">
        <v>144</v>
      </c>
      <c r="P42" s="87">
        <f>SUMIF(Fatture[Cliente],O42,Fatture7[[#All],[Importo fattura]])</f>
        <v>50000</v>
      </c>
      <c r="Q42" s="37"/>
    </row>
    <row r="43" spans="1:17" ht="14" thickBot="1" x14ac:dyDescent="0.2">
      <c r="A43" s="21">
        <v>36597</v>
      </c>
      <c r="B43" t="s">
        <v>187</v>
      </c>
      <c r="C43" t="s">
        <v>176</v>
      </c>
      <c r="D43" s="22">
        <v>7850</v>
      </c>
      <c r="E43" s="22">
        <v>25</v>
      </c>
      <c r="G43" s="35">
        <v>36632</v>
      </c>
      <c r="H43" s="36" t="str">
        <v>After the Stork</v>
      </c>
      <c r="I43" s="36" t="str">
        <v>Abbigliamento</v>
      </c>
      <c r="J43" s="93">
        <v>51800</v>
      </c>
      <c r="K43" s="93">
        <v>21</v>
      </c>
      <c r="L43" s="93"/>
    </row>
    <row r="44" spans="1:17" ht="14" thickBot="1" x14ac:dyDescent="0.2">
      <c r="A44" s="21">
        <v>36598</v>
      </c>
      <c r="B44" t="s">
        <v>163</v>
      </c>
      <c r="C44" t="s">
        <v>164</v>
      </c>
      <c r="D44" s="22">
        <v>127490</v>
      </c>
      <c r="E44" s="22">
        <v>21</v>
      </c>
      <c r="G44" s="35">
        <v>36547</v>
      </c>
      <c r="H44" s="36" t="str">
        <v>Allstate</v>
      </c>
      <c r="I44" s="36" t="str">
        <v>Assicurazione</v>
      </c>
      <c r="J44" s="93">
        <v>50800</v>
      </c>
      <c r="K44" s="93">
        <v>22</v>
      </c>
      <c r="L44" s="93"/>
      <c r="M44" s="94" t="s">
        <v>222</v>
      </c>
      <c r="N44" s="95"/>
      <c r="O44" s="95"/>
      <c r="P44" s="96"/>
    </row>
    <row r="45" spans="1:17" ht="14" thickBot="1" x14ac:dyDescent="0.2">
      <c r="A45" s="21">
        <v>36598</v>
      </c>
      <c r="B45" t="s">
        <v>188</v>
      </c>
      <c r="C45" t="s">
        <v>170</v>
      </c>
      <c r="D45" s="22">
        <v>3950</v>
      </c>
      <c r="E45" s="22">
        <v>17</v>
      </c>
      <c r="G45" s="35">
        <v>36700</v>
      </c>
      <c r="H45" s="36" t="str">
        <v>H &amp; B Recordings</v>
      </c>
      <c r="I45" s="36" t="str">
        <v>Svago</v>
      </c>
      <c r="J45" s="93">
        <v>50280</v>
      </c>
      <c r="K45" s="93">
        <v>20</v>
      </c>
      <c r="L45" s="93"/>
    </row>
    <row r="46" spans="1:17" x14ac:dyDescent="0.15">
      <c r="A46" s="21">
        <v>36598</v>
      </c>
      <c r="B46" t="s">
        <v>140</v>
      </c>
      <c r="C46" t="s">
        <v>189</v>
      </c>
      <c r="D46" s="22">
        <v>50000</v>
      </c>
      <c r="E46" s="22">
        <v>15</v>
      </c>
      <c r="G46" s="35">
        <v>36529</v>
      </c>
      <c r="H46" s="36" t="str">
        <v>Ferguson and Bardell</v>
      </c>
      <c r="I46" s="36" t="str">
        <v>Abbigliamento</v>
      </c>
      <c r="J46" s="93">
        <v>50000</v>
      </c>
      <c r="K46" s="93">
        <v>16</v>
      </c>
      <c r="L46" s="93"/>
      <c r="M46" s="41" t="s">
        <v>223</v>
      </c>
      <c r="N46" s="97"/>
      <c r="O46" s="97"/>
      <c r="P46" s="97"/>
      <c r="Q46" s="98"/>
    </row>
    <row r="47" spans="1:17" x14ac:dyDescent="0.15">
      <c r="A47" s="21">
        <v>36600</v>
      </c>
      <c r="B47" t="s">
        <v>190</v>
      </c>
      <c r="C47" t="s">
        <v>191</v>
      </c>
      <c r="D47" s="22">
        <v>16650</v>
      </c>
      <c r="E47" s="22">
        <v>24</v>
      </c>
      <c r="G47" s="35">
        <v>36598</v>
      </c>
      <c r="H47" s="36" t="str">
        <v>Ferguson and Bardell</v>
      </c>
      <c r="I47" s="36" t="str">
        <v>Salute</v>
      </c>
      <c r="J47" s="93">
        <v>50000</v>
      </c>
      <c r="K47" s="93">
        <v>15</v>
      </c>
      <c r="L47" s="93"/>
      <c r="M47" s="99"/>
      <c r="N47" s="100"/>
      <c r="O47" s="100"/>
      <c r="P47" s="100"/>
      <c r="Q47" s="101"/>
    </row>
    <row r="48" spans="1:17" x14ac:dyDescent="0.15">
      <c r="A48" s="21">
        <v>36603</v>
      </c>
      <c r="B48" t="s">
        <v>165</v>
      </c>
      <c r="C48" t="s">
        <v>146</v>
      </c>
      <c r="D48" s="22">
        <v>87300</v>
      </c>
      <c r="E48" s="22">
        <v>18</v>
      </c>
      <c r="G48" s="35">
        <v>36558</v>
      </c>
      <c r="H48" s="36" t="str">
        <v>Chinaberry Book</v>
      </c>
      <c r="I48" s="36" t="str">
        <v>Svago</v>
      </c>
      <c r="J48" s="93">
        <v>49400</v>
      </c>
      <c r="K48" s="93">
        <v>13</v>
      </c>
      <c r="L48" s="93"/>
      <c r="M48" s="99"/>
      <c r="N48" s="100"/>
      <c r="O48" s="100"/>
      <c r="P48" s="100"/>
      <c r="Q48" s="101"/>
    </row>
    <row r="49" spans="1:17" x14ac:dyDescent="0.15">
      <c r="A49" s="21">
        <v>36604</v>
      </c>
      <c r="B49" t="s">
        <v>192</v>
      </c>
      <c r="C49" t="s">
        <v>193</v>
      </c>
      <c r="D49" s="22">
        <v>2425000</v>
      </c>
      <c r="E49" s="22">
        <v>11</v>
      </c>
      <c r="G49" s="35">
        <v>36551</v>
      </c>
      <c r="H49" s="36" t="str">
        <v>H&amp;B</v>
      </c>
      <c r="I49" s="36" t="str">
        <v>Svago</v>
      </c>
      <c r="J49" s="93">
        <v>45890</v>
      </c>
      <c r="K49" s="93">
        <v>18</v>
      </c>
      <c r="L49" s="93"/>
      <c r="M49" s="99"/>
      <c r="N49" s="100"/>
      <c r="O49" s="100"/>
      <c r="P49" s="100"/>
      <c r="Q49" s="101"/>
    </row>
    <row r="50" spans="1:17" ht="14" thickBot="1" x14ac:dyDescent="0.2">
      <c r="A50" s="21">
        <v>36608</v>
      </c>
      <c r="B50" t="s">
        <v>194</v>
      </c>
      <c r="C50" t="s">
        <v>141</v>
      </c>
      <c r="D50" s="22">
        <v>18230</v>
      </c>
      <c r="E50" s="22">
        <v>21</v>
      </c>
      <c r="G50" s="35">
        <v>36622</v>
      </c>
      <c r="H50" s="36" t="str">
        <v>Gardeners Eden</v>
      </c>
      <c r="I50" s="36" t="str">
        <v>Abitazione</v>
      </c>
      <c r="J50" s="92">
        <v>44950</v>
      </c>
      <c r="K50" s="92">
        <v>20</v>
      </c>
      <c r="M50" s="102"/>
      <c r="N50" s="103"/>
      <c r="O50" s="103"/>
      <c r="P50" s="103"/>
      <c r="Q50" s="104"/>
    </row>
    <row r="51" spans="1:17" x14ac:dyDescent="0.15">
      <c r="A51" s="21">
        <v>36609</v>
      </c>
      <c r="B51" t="s">
        <v>184</v>
      </c>
      <c r="C51" t="s">
        <v>173</v>
      </c>
      <c r="D51" s="22">
        <v>78530</v>
      </c>
      <c r="E51" s="22">
        <v>25</v>
      </c>
      <c r="G51" s="35">
        <v>36543</v>
      </c>
      <c r="H51" s="36" t="str">
        <v>Fletcher's for Children</v>
      </c>
      <c r="I51" s="36" t="str">
        <v>Attrezzatura</v>
      </c>
      <c r="J51" s="92">
        <v>43500</v>
      </c>
      <c r="K51" s="92">
        <v>29</v>
      </c>
    </row>
    <row r="52" spans="1:17" x14ac:dyDescent="0.15">
      <c r="A52" s="21">
        <v>36609</v>
      </c>
      <c r="B52" t="s">
        <v>195</v>
      </c>
      <c r="C52" t="s">
        <v>173</v>
      </c>
      <c r="D52" s="22">
        <v>21000</v>
      </c>
      <c r="E52" s="22">
        <v>18</v>
      </c>
      <c r="G52" s="35">
        <v>36596</v>
      </c>
      <c r="H52" s="36" t="str">
        <v>Chambers</v>
      </c>
      <c r="I52" s="36" t="str">
        <v>Regali</v>
      </c>
      <c r="J52" s="92">
        <v>43500</v>
      </c>
      <c r="K52" s="92">
        <v>16</v>
      </c>
    </row>
    <row r="53" spans="1:17" x14ac:dyDescent="0.15">
      <c r="A53" s="21">
        <v>36612</v>
      </c>
      <c r="B53" t="s">
        <v>196</v>
      </c>
      <c r="C53" t="s">
        <v>197</v>
      </c>
      <c r="D53" s="22">
        <v>34900</v>
      </c>
      <c r="E53" s="22">
        <v>16</v>
      </c>
      <c r="G53" s="35">
        <v>36697</v>
      </c>
      <c r="H53" s="36" t="str">
        <v>Bridgewater Restaurant, Florence</v>
      </c>
      <c r="I53" s="36" t="str">
        <v>Ristorante</v>
      </c>
      <c r="J53" s="92">
        <v>40650</v>
      </c>
      <c r="K53" s="92">
        <v>17</v>
      </c>
    </row>
    <row r="54" spans="1:17" x14ac:dyDescent="0.15">
      <c r="A54" s="21">
        <v>36614</v>
      </c>
      <c r="B54" t="s">
        <v>188</v>
      </c>
      <c r="C54" t="s">
        <v>170</v>
      </c>
      <c r="D54" s="22">
        <v>8000</v>
      </c>
      <c r="E54" s="22">
        <v>22</v>
      </c>
    </row>
    <row r="55" spans="1:17" x14ac:dyDescent="0.15">
      <c r="A55" s="21">
        <v>36614</v>
      </c>
      <c r="B55" t="s">
        <v>198</v>
      </c>
      <c r="C55" t="s">
        <v>146</v>
      </c>
      <c r="D55" s="22">
        <v>24660</v>
      </c>
      <c r="E55" s="22">
        <v>27</v>
      </c>
    </row>
    <row r="56" spans="1:17" x14ac:dyDescent="0.15">
      <c r="A56" s="21">
        <v>36616</v>
      </c>
      <c r="B56" t="s">
        <v>199</v>
      </c>
      <c r="C56" t="s">
        <v>197</v>
      </c>
      <c r="D56" s="22">
        <v>22450</v>
      </c>
      <c r="E56" s="22">
        <v>18</v>
      </c>
    </row>
    <row r="57" spans="1:17" x14ac:dyDescent="0.15">
      <c r="A57" s="21">
        <v>36622</v>
      </c>
      <c r="B57" t="s">
        <v>199</v>
      </c>
      <c r="C57" t="s">
        <v>197</v>
      </c>
      <c r="D57" s="22">
        <v>44950</v>
      </c>
      <c r="E57" s="22">
        <v>20</v>
      </c>
    </row>
    <row r="58" spans="1:17" x14ac:dyDescent="0.15">
      <c r="A58" s="21">
        <v>36624</v>
      </c>
      <c r="B58" t="s">
        <v>200</v>
      </c>
      <c r="C58" t="s">
        <v>193</v>
      </c>
      <c r="D58" s="22">
        <v>55600</v>
      </c>
      <c r="E58" s="22">
        <v>11</v>
      </c>
    </row>
    <row r="59" spans="1:17" x14ac:dyDescent="0.15">
      <c r="A59" s="21">
        <v>36629</v>
      </c>
      <c r="B59" t="s">
        <v>201</v>
      </c>
      <c r="C59" t="s">
        <v>202</v>
      </c>
      <c r="D59" s="22">
        <v>84500</v>
      </c>
      <c r="E59" s="22">
        <v>21</v>
      </c>
    </row>
    <row r="60" spans="1:17" x14ac:dyDescent="0.15">
      <c r="A60" s="21">
        <v>36632</v>
      </c>
      <c r="B60" t="s">
        <v>178</v>
      </c>
      <c r="C60" t="s">
        <v>141</v>
      </c>
      <c r="D60" s="22">
        <v>51800</v>
      </c>
      <c r="E60" s="22">
        <v>21</v>
      </c>
    </row>
    <row r="61" spans="1:17" x14ac:dyDescent="0.15">
      <c r="A61" s="21">
        <v>36632</v>
      </c>
      <c r="B61" t="s">
        <v>171</v>
      </c>
      <c r="C61" t="s">
        <v>141</v>
      </c>
      <c r="D61" s="22">
        <v>31000</v>
      </c>
      <c r="E61" s="22">
        <v>16</v>
      </c>
    </row>
    <row r="62" spans="1:17" x14ac:dyDescent="0.15">
      <c r="A62" s="21">
        <v>36637</v>
      </c>
      <c r="B62" t="s">
        <v>171</v>
      </c>
      <c r="C62" t="s">
        <v>141</v>
      </c>
      <c r="D62" s="22">
        <v>81500</v>
      </c>
      <c r="E62" s="22">
        <v>25</v>
      </c>
    </row>
    <row r="63" spans="1:17" x14ac:dyDescent="0.15">
      <c r="A63" s="21">
        <v>36637</v>
      </c>
      <c r="B63" t="s">
        <v>179</v>
      </c>
      <c r="C63" t="s">
        <v>162</v>
      </c>
      <c r="D63" s="22">
        <v>183900</v>
      </c>
      <c r="E63" s="22">
        <v>18</v>
      </c>
    </row>
    <row r="64" spans="1:17" x14ac:dyDescent="0.15">
      <c r="A64" s="21">
        <v>36637</v>
      </c>
      <c r="B64" t="s">
        <v>151</v>
      </c>
      <c r="C64" t="s">
        <v>152</v>
      </c>
      <c r="D64" s="22">
        <v>13500</v>
      </c>
      <c r="E64" s="22">
        <v>18</v>
      </c>
    </row>
    <row r="65" spans="1:5" x14ac:dyDescent="0.15">
      <c r="A65" s="21">
        <v>36638</v>
      </c>
      <c r="B65" t="s">
        <v>203</v>
      </c>
      <c r="C65" t="s">
        <v>204</v>
      </c>
      <c r="D65" s="22">
        <v>2010</v>
      </c>
      <c r="E65" s="22">
        <v>21</v>
      </c>
    </row>
    <row r="66" spans="1:5" x14ac:dyDescent="0.15">
      <c r="A66" s="21">
        <v>36640</v>
      </c>
      <c r="B66" t="s">
        <v>205</v>
      </c>
      <c r="C66" t="s">
        <v>197</v>
      </c>
      <c r="D66" s="22">
        <v>36300</v>
      </c>
      <c r="E66" s="22">
        <v>23</v>
      </c>
    </row>
    <row r="67" spans="1:5" x14ac:dyDescent="0.15">
      <c r="A67" s="21">
        <v>36642</v>
      </c>
      <c r="B67" t="s">
        <v>194</v>
      </c>
      <c r="C67" t="s">
        <v>141</v>
      </c>
      <c r="D67" s="22">
        <v>7640</v>
      </c>
      <c r="E67" s="22">
        <v>20</v>
      </c>
    </row>
    <row r="68" spans="1:5" x14ac:dyDescent="0.15">
      <c r="A68" s="21">
        <v>36644</v>
      </c>
      <c r="B68" t="s">
        <v>172</v>
      </c>
      <c r="C68" t="s">
        <v>173</v>
      </c>
      <c r="D68" s="22">
        <v>18000</v>
      </c>
      <c r="E68" s="22">
        <v>21</v>
      </c>
    </row>
    <row r="69" spans="1:5" x14ac:dyDescent="0.15">
      <c r="A69" s="21">
        <v>36645</v>
      </c>
      <c r="B69" t="s">
        <v>203</v>
      </c>
      <c r="C69" t="s">
        <v>204</v>
      </c>
      <c r="D69" s="22">
        <v>8730</v>
      </c>
      <c r="E69" s="22">
        <v>18</v>
      </c>
    </row>
    <row r="70" spans="1:5" x14ac:dyDescent="0.15">
      <c r="A70" s="21">
        <v>36645</v>
      </c>
      <c r="B70" t="s">
        <v>172</v>
      </c>
      <c r="C70" t="s">
        <v>173</v>
      </c>
      <c r="D70" s="22">
        <v>19000</v>
      </c>
      <c r="E70" s="22">
        <v>12</v>
      </c>
    </row>
    <row r="71" spans="1:5" x14ac:dyDescent="0.15">
      <c r="A71" s="21">
        <v>36649</v>
      </c>
      <c r="B71" t="s">
        <v>192</v>
      </c>
      <c r="C71" t="s">
        <v>193</v>
      </c>
      <c r="D71" s="22">
        <v>2425000</v>
      </c>
      <c r="E71" s="22">
        <v>21</v>
      </c>
    </row>
    <row r="72" spans="1:5" x14ac:dyDescent="0.15">
      <c r="A72" s="21">
        <v>36651</v>
      </c>
      <c r="B72" t="s">
        <v>192</v>
      </c>
      <c r="C72" t="s">
        <v>193</v>
      </c>
      <c r="D72" s="22">
        <v>1860000</v>
      </c>
      <c r="E72" s="22">
        <v>19</v>
      </c>
    </row>
    <row r="73" spans="1:5" x14ac:dyDescent="0.15">
      <c r="A73" s="21">
        <v>36652</v>
      </c>
      <c r="B73" t="s">
        <v>206</v>
      </c>
      <c r="C73" t="s">
        <v>204</v>
      </c>
      <c r="D73" s="22">
        <v>6570</v>
      </c>
      <c r="E73" s="22">
        <v>13</v>
      </c>
    </row>
    <row r="74" spans="1:5" x14ac:dyDescent="0.15">
      <c r="A74" s="21">
        <v>36653</v>
      </c>
      <c r="B74" t="s">
        <v>207</v>
      </c>
      <c r="C74" t="s">
        <v>208</v>
      </c>
      <c r="D74" s="22">
        <v>14000</v>
      </c>
      <c r="E74" s="22">
        <v>16</v>
      </c>
    </row>
    <row r="75" spans="1:5" x14ac:dyDescent="0.15">
      <c r="A75" s="21">
        <v>36665</v>
      </c>
      <c r="B75" t="s">
        <v>209</v>
      </c>
      <c r="C75" t="s">
        <v>149</v>
      </c>
      <c r="D75" s="22">
        <v>29980</v>
      </c>
      <c r="E75" s="22">
        <v>19</v>
      </c>
    </row>
    <row r="76" spans="1:5" x14ac:dyDescent="0.15">
      <c r="A76" s="21">
        <v>36666</v>
      </c>
      <c r="B76" t="s">
        <v>210</v>
      </c>
      <c r="C76" t="s">
        <v>146</v>
      </c>
      <c r="D76" s="22">
        <v>17950</v>
      </c>
      <c r="E76" s="22">
        <v>17</v>
      </c>
    </row>
    <row r="77" spans="1:5" x14ac:dyDescent="0.15">
      <c r="A77" s="21">
        <v>36666</v>
      </c>
      <c r="B77" t="s">
        <v>198</v>
      </c>
      <c r="C77" t="s">
        <v>146</v>
      </c>
      <c r="D77" s="22">
        <v>32320</v>
      </c>
      <c r="E77" s="22">
        <v>20</v>
      </c>
    </row>
    <row r="78" spans="1:5" x14ac:dyDescent="0.15">
      <c r="A78" s="21">
        <v>36667</v>
      </c>
      <c r="B78" t="s">
        <v>211</v>
      </c>
      <c r="C78" t="s">
        <v>189</v>
      </c>
      <c r="D78" s="22">
        <v>27350</v>
      </c>
      <c r="E78" s="22">
        <v>19</v>
      </c>
    </row>
    <row r="79" spans="1:5" x14ac:dyDescent="0.15">
      <c r="A79" s="21">
        <v>36672</v>
      </c>
      <c r="B79" t="s">
        <v>207</v>
      </c>
      <c r="C79" t="s">
        <v>208</v>
      </c>
      <c r="D79" s="22">
        <v>15000</v>
      </c>
      <c r="E79" s="22">
        <v>20</v>
      </c>
    </row>
    <row r="80" spans="1:5" x14ac:dyDescent="0.15">
      <c r="A80" s="21">
        <v>36681</v>
      </c>
      <c r="B80" t="s">
        <v>151</v>
      </c>
      <c r="C80" t="s">
        <v>152</v>
      </c>
      <c r="D80" s="22">
        <v>13500</v>
      </c>
      <c r="E80" s="22">
        <v>21</v>
      </c>
    </row>
    <row r="81" spans="1:5" x14ac:dyDescent="0.15">
      <c r="A81" s="21">
        <v>36682</v>
      </c>
      <c r="B81" t="s">
        <v>206</v>
      </c>
      <c r="C81" t="s">
        <v>204</v>
      </c>
      <c r="D81" s="22">
        <v>8600</v>
      </c>
      <c r="E81" s="22">
        <v>22</v>
      </c>
    </row>
    <row r="82" spans="1:5" x14ac:dyDescent="0.15">
      <c r="A82" s="21">
        <v>36685</v>
      </c>
      <c r="B82" t="s">
        <v>148</v>
      </c>
      <c r="C82" t="s">
        <v>149</v>
      </c>
      <c r="D82" s="22">
        <v>15980</v>
      </c>
      <c r="E82" s="22">
        <v>14</v>
      </c>
    </row>
    <row r="83" spans="1:5" x14ac:dyDescent="0.15">
      <c r="A83" s="21">
        <v>36686</v>
      </c>
      <c r="B83" t="s">
        <v>194</v>
      </c>
      <c r="C83" t="s">
        <v>141</v>
      </c>
      <c r="D83" s="22">
        <v>7640</v>
      </c>
      <c r="E83" s="22">
        <v>22</v>
      </c>
    </row>
    <row r="84" spans="1:5" x14ac:dyDescent="0.15">
      <c r="A84" s="21">
        <v>36697</v>
      </c>
      <c r="B84" t="s">
        <v>212</v>
      </c>
      <c r="C84" t="s">
        <v>170</v>
      </c>
      <c r="D84" s="22">
        <v>40650</v>
      </c>
      <c r="E84" s="22">
        <v>17</v>
      </c>
    </row>
    <row r="85" spans="1:5" x14ac:dyDescent="0.15">
      <c r="A85" s="21">
        <v>36700</v>
      </c>
      <c r="B85" t="s">
        <v>213</v>
      </c>
      <c r="C85" t="s">
        <v>146</v>
      </c>
      <c r="D85" s="22">
        <v>50280</v>
      </c>
      <c r="E85" s="22">
        <v>20</v>
      </c>
    </row>
    <row r="86" spans="1:5" x14ac:dyDescent="0.15">
      <c r="A86" s="21">
        <v>36700</v>
      </c>
      <c r="B86" t="s">
        <v>213</v>
      </c>
      <c r="C86" t="s">
        <v>146</v>
      </c>
      <c r="D86" s="22">
        <v>1050</v>
      </c>
      <c r="E86" s="22">
        <v>21</v>
      </c>
    </row>
    <row r="87" spans="1:5" x14ac:dyDescent="0.15">
      <c r="A87" s="21">
        <v>36705</v>
      </c>
      <c r="B87" t="s">
        <v>214</v>
      </c>
      <c r="C87" t="s">
        <v>204</v>
      </c>
      <c r="D87" s="22">
        <v>4950</v>
      </c>
      <c r="E87" s="22">
        <v>28</v>
      </c>
    </row>
  </sheetData>
  <mergeCells count="15">
    <mergeCell ref="M42:N42"/>
    <mergeCell ref="M44:P44"/>
    <mergeCell ref="M46:Q50"/>
    <mergeCell ref="G19:I19"/>
    <mergeCell ref="M19:Q19"/>
    <mergeCell ref="M20:R26"/>
    <mergeCell ref="M30:N30"/>
    <mergeCell ref="M31:N31"/>
    <mergeCell ref="M33:Q38"/>
    <mergeCell ref="M4:O4"/>
    <mergeCell ref="M5:R8"/>
    <mergeCell ref="G9:I9"/>
    <mergeCell ref="G11:I11"/>
    <mergeCell ref="M12:Q12"/>
    <mergeCell ref="M13:R16"/>
  </mergeCells>
  <dataValidations count="2">
    <dataValidation type="list" allowBlank="1" showInputMessage="1" showErrorMessage="1" sqref="J11 J9" xr:uid="{5624C656-DAB7-7246-B9CD-B7F6828058E5}">
      <formula1>$C$9:$C$87</formula1>
    </dataValidation>
    <dataValidation type="list" allowBlank="1" showInputMessage="1" showErrorMessage="1" sqref="O42" xr:uid="{99B34223-3B4C-3A48-93CC-EC10262674C3}">
      <formula1>$B$8:$B$87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Parcheggio</vt:lpstr>
      <vt:lpstr>Frutta</vt:lpstr>
      <vt:lpstr>TRACCIA</vt:lpstr>
      <vt:lpstr>ESERCIZIO 4</vt:lpstr>
      <vt:lpstr>ESERCIZIO 5</vt:lpstr>
      <vt:lpstr>ESERCIZIO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palladino</cp:lastModifiedBy>
  <dcterms:created xsi:type="dcterms:W3CDTF">2026-07-14T17:10:02Z</dcterms:created>
  <dcterms:modified xsi:type="dcterms:W3CDTF">2026-07-15T06:07:01Z</dcterms:modified>
</cp:coreProperties>
</file>